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88" yWindow="312" windowWidth="22692" windowHeight="9276" activeTab="1"/>
  </bookViews>
  <sheets>
    <sheet name="concrete test analysis" sheetId="1" r:id="rId1"/>
    <sheet name="Material approval status" sheetId="3" r:id="rId2"/>
    <sheet name="Site inspection log" sheetId="4" r:id="rId3"/>
  </sheets>
  <calcPr calcId="144525"/>
</workbook>
</file>

<file path=xl/calcChain.xml><?xml version="1.0" encoding="utf-8"?>
<calcChain xmlns="http://schemas.openxmlformats.org/spreadsheetml/2006/main">
  <c r="I6" i="3" l="1"/>
  <c r="J4" i="4" l="1"/>
  <c r="J3" i="4"/>
  <c r="J2" i="4"/>
  <c r="M5" i="1" l="1"/>
  <c r="I5" i="3"/>
  <c r="I4" i="3"/>
  <c r="I3" i="3"/>
  <c r="I2" i="3"/>
  <c r="M4" i="1" l="1"/>
  <c r="M3" i="1"/>
  <c r="M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</calcChain>
</file>

<file path=xl/sharedStrings.xml><?xml version="1.0" encoding="utf-8"?>
<sst xmlns="http://schemas.openxmlformats.org/spreadsheetml/2006/main" count="407" uniqueCount="68">
  <si>
    <t>Date</t>
  </si>
  <si>
    <t>Location</t>
  </si>
  <si>
    <t>Concrete Grade</t>
  </si>
  <si>
    <t>Slump (mm)</t>
  </si>
  <si>
    <t>7-Day Strength (MPa)</t>
  </si>
  <si>
    <t>28-Day Strength (MPa)</t>
  </si>
  <si>
    <t>Required Strength (MPa)</t>
  </si>
  <si>
    <t>Status</t>
  </si>
  <si>
    <t>Block B</t>
  </si>
  <si>
    <t>M20</t>
  </si>
  <si>
    <t>Pass</t>
  </si>
  <si>
    <t>Block A</t>
  </si>
  <si>
    <t>M25</t>
  </si>
  <si>
    <t>Column Zone 1</t>
  </si>
  <si>
    <t>Foundation</t>
  </si>
  <si>
    <t>M30</t>
  </si>
  <si>
    <t>Fail</t>
  </si>
  <si>
    <t>Column Zone 2</t>
  </si>
  <si>
    <t>Difference</t>
  </si>
  <si>
    <t>Parameter</t>
  </si>
  <si>
    <t>Value</t>
  </si>
  <si>
    <t>Failed</t>
  </si>
  <si>
    <t>Passed</t>
  </si>
  <si>
    <t>Failure %</t>
  </si>
  <si>
    <t>Total tests</t>
  </si>
  <si>
    <t>Material Name</t>
  </si>
  <si>
    <t>Supplier</t>
  </si>
  <si>
    <t>Test Certificate Available</t>
  </si>
  <si>
    <t>Approval Status</t>
  </si>
  <si>
    <t>Admixture</t>
  </si>
  <si>
    <t>BuildWell Ltd</t>
  </si>
  <si>
    <t>No</t>
  </si>
  <si>
    <t>Pending</t>
  </si>
  <si>
    <t>TMT Steel Fe500</t>
  </si>
  <si>
    <t>ABC Suppliers</t>
  </si>
  <si>
    <t>Yes</t>
  </si>
  <si>
    <t>Approved</t>
  </si>
  <si>
    <t>River Sand</t>
  </si>
  <si>
    <t>InfraSource</t>
  </si>
  <si>
    <t>Coarse Aggregate</t>
  </si>
  <si>
    <t>Structura Pvt Ltd</t>
  </si>
  <si>
    <t>Cement OPC 53</t>
  </si>
  <si>
    <t>ConcreteMart</t>
  </si>
  <si>
    <t>Total Materials</t>
  </si>
  <si>
    <t>Total Approved</t>
  </si>
  <si>
    <t>Total Pending</t>
  </si>
  <si>
    <t>Pending %</t>
  </si>
  <si>
    <t>Activity</t>
  </si>
  <si>
    <t>Inspector Name</t>
  </si>
  <si>
    <t>Observation</t>
  </si>
  <si>
    <t>Non-Conformance</t>
  </si>
  <si>
    <t>Remarks</t>
  </si>
  <si>
    <t>Formwork</t>
  </si>
  <si>
    <t>Engineer Ravi</t>
  </si>
  <si>
    <t>Minor deviation observed</t>
  </si>
  <si>
    <t>Rectification required</t>
  </si>
  <si>
    <t>Engineer Priya</t>
  </si>
  <si>
    <t>Concrete Pouring</t>
  </si>
  <si>
    <t>Foundation Excavation</t>
  </si>
  <si>
    <t>Engineer Arjun</t>
  </si>
  <si>
    <t>Rebar Fixing</t>
  </si>
  <si>
    <t>Engineer Meera</t>
  </si>
  <si>
    <t>Work as per drawing</t>
  </si>
  <si>
    <t>Curing</t>
  </si>
  <si>
    <t>Total inspections</t>
  </si>
  <si>
    <t>Non-conformance</t>
  </si>
  <si>
    <t>NC rate %</t>
  </si>
  <si>
    <t>Approved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</si>
</sst>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ourier New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9" fontId="0" fillId="0" borderId="0" xfId="1" applyFont="1"/>
    <xf numFmtId="0" fontId="18" fillId="0" borderId="0" xfId="0" applyFont="1" applyAlignment="1">
      <alignment vertical="center"/>
    </xf>
    <xf numFmtId="0" fontId="18" fillId="0" borderId="0" xfId="0" applyFont="1"/>
    <xf numFmtId="9" fontId="18" fillId="0" borderId="0" xfId="1" applyFont="1" applyAlignment="1">
      <alignment vertical="center"/>
    </xf>
    <xf numFmtId="9" fontId="19" fillId="0" borderId="0" xfId="1" applyFont="1" applyAlignment="1">
      <alignment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3"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ourier New"/>
        <scheme val="none"/>
      </font>
      <alignment horizontal="general" vertical="center" textRotation="0" wrapText="0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ConcreteTestData" displayName="ConcreteTestData" ref="A1:I31" totalsRowShown="0">
  <autoFilter ref="A1:I31"/>
  <tableColumns count="9">
    <tableColumn id="1" name="Date" dataDxfId="2"/>
    <tableColumn id="2" name="Location"/>
    <tableColumn id="3" name="Concrete Grade"/>
    <tableColumn id="4" name="Slump (mm)"/>
    <tableColumn id="5" name="7-Day Strength (MPa)"/>
    <tableColumn id="6" name="28-Day Strength (MPa)"/>
    <tableColumn id="7" name="Required Strength (MPa)"/>
    <tableColumn id="8" name="Difference">
      <calculatedColumnFormula>(F2-G2)</calculatedColumnFormula>
    </tableColumn>
    <tableColumn id="9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SummaryTable" displayName="SummaryTable" ref="L1:M5" totalsRowShown="0">
  <autoFilter ref="L1:M5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MaterialData" displayName="MaterialData" ref="A1:D21" totalsRowShown="0">
  <autoFilter ref="A1:D21"/>
  <tableColumns count="4">
    <tableColumn id="1" name="Material Name"/>
    <tableColumn id="2" name="Supplier"/>
    <tableColumn id="3" name="Test Certificate Available"/>
    <tableColumn id="4" name="Approval 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1" name="summary" displayName="summary" ref="H1:I6" totalsRowShown="0">
  <autoFilter ref="H1:I6"/>
  <tableColumns count="2">
    <tableColumn id="1" name="Parameter"/>
    <tableColumn id="2" name="Value" dataDxfId="1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SiteInspectionData" displayName="SiteInspectionData" ref="A1:F41" totalsRowShown="0">
  <autoFilter ref="A1:F41"/>
  <tableColumns count="6">
    <tableColumn id="1" name="Date" dataDxfId="0"/>
    <tableColumn id="2" name="Activity"/>
    <tableColumn id="3" name="Inspector Name"/>
    <tableColumn id="4" name="Observation"/>
    <tableColumn id="5" name="Non-Conformance"/>
    <tableColumn id="6" name="Remark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ummaryT" displayName="SummaryT" ref="I1:J4" totalsRowShown="0">
  <autoFilter ref="I1:J4"/>
  <tableColumns count="2">
    <tableColumn id="1" name="Parameter"/>
    <tableColumn id="2" name="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workbookViewId="0">
      <selection activeCell="L1" sqref="L1:M5"/>
    </sheetView>
  </sheetViews>
  <sheetFormatPr defaultRowHeight="14.4" x14ac:dyDescent="0.3"/>
  <cols>
    <col min="1" max="1" width="10.33203125" bestFit="1" customWidth="1"/>
    <col min="2" max="2" width="10.109375" customWidth="1"/>
    <col min="3" max="3" width="15.88671875" customWidth="1"/>
    <col min="4" max="4" width="13.33203125" customWidth="1"/>
    <col min="5" max="5" width="21.109375" customWidth="1"/>
    <col min="6" max="6" width="22.109375" customWidth="1"/>
    <col min="7" max="7" width="23.77734375" customWidth="1"/>
    <col min="8" max="8" width="11.5546875" customWidth="1"/>
    <col min="11" max="11" width="8.88671875" customWidth="1"/>
    <col min="12" max="12" width="11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</v>
      </c>
      <c r="I1" t="s">
        <v>7</v>
      </c>
      <c r="L1" t="s">
        <v>19</v>
      </c>
      <c r="M1" t="s">
        <v>20</v>
      </c>
    </row>
    <row r="2" spans="1:13" x14ac:dyDescent="0.3">
      <c r="A2" s="1">
        <v>45658</v>
      </c>
      <c r="B2" t="s">
        <v>8</v>
      </c>
      <c r="C2" t="s">
        <v>9</v>
      </c>
      <c r="D2">
        <v>114.3</v>
      </c>
      <c r="E2">
        <v>14.33</v>
      </c>
      <c r="F2">
        <v>22.43</v>
      </c>
      <c r="G2">
        <v>20</v>
      </c>
      <c r="H2">
        <f>(F2-G2)</f>
        <v>2.4299999999999997</v>
      </c>
      <c r="I2" t="s">
        <v>10</v>
      </c>
      <c r="L2" t="s">
        <v>24</v>
      </c>
      <c r="M2">
        <f>COUNTA(I2:I31)</f>
        <v>30</v>
      </c>
    </row>
    <row r="3" spans="1:13" x14ac:dyDescent="0.3">
      <c r="A3" s="1">
        <v>45661</v>
      </c>
      <c r="B3" t="s">
        <v>11</v>
      </c>
      <c r="C3" t="s">
        <v>12</v>
      </c>
      <c r="D3">
        <v>95.1</v>
      </c>
      <c r="E3">
        <v>16.29</v>
      </c>
      <c r="F3">
        <v>26.06</v>
      </c>
      <c r="G3">
        <v>25</v>
      </c>
      <c r="H3">
        <f t="shared" ref="H3:H31" si="0">(F3-G3)</f>
        <v>1.0599999999999987</v>
      </c>
      <c r="I3" t="s">
        <v>10</v>
      </c>
      <c r="L3" t="s">
        <v>21</v>
      </c>
      <c r="M3">
        <f>COUNTIF(I2:I31,"Fail")</f>
        <v>12</v>
      </c>
    </row>
    <row r="4" spans="1:13" x14ac:dyDescent="0.3">
      <c r="A4" s="1">
        <v>45664</v>
      </c>
      <c r="B4" t="s">
        <v>13</v>
      </c>
      <c r="C4" t="s">
        <v>9</v>
      </c>
      <c r="D4">
        <v>113.5</v>
      </c>
      <c r="E4">
        <v>14.63</v>
      </c>
      <c r="F4">
        <v>20.04</v>
      </c>
      <c r="G4">
        <v>20</v>
      </c>
      <c r="H4">
        <f t="shared" si="0"/>
        <v>3.9999999999999147E-2</v>
      </c>
      <c r="I4" t="s">
        <v>10</v>
      </c>
      <c r="L4" t="s">
        <v>22</v>
      </c>
      <c r="M4">
        <f>COUNTIF(I2:I31,"Pass")</f>
        <v>18</v>
      </c>
    </row>
    <row r="5" spans="1:13" x14ac:dyDescent="0.3">
      <c r="A5" s="1">
        <v>45667</v>
      </c>
      <c r="B5" t="s">
        <v>14</v>
      </c>
      <c r="C5" t="s">
        <v>15</v>
      </c>
      <c r="D5">
        <v>79.5</v>
      </c>
      <c r="E5">
        <v>21.47</v>
      </c>
      <c r="F5">
        <v>30.5</v>
      </c>
      <c r="G5">
        <v>30</v>
      </c>
      <c r="H5">
        <f t="shared" si="0"/>
        <v>0.5</v>
      </c>
      <c r="I5" t="s">
        <v>10</v>
      </c>
      <c r="L5" t="s">
        <v>23</v>
      </c>
      <c r="M5" s="2">
        <f>(M3/M2)</f>
        <v>0.4</v>
      </c>
    </row>
    <row r="6" spans="1:13" x14ac:dyDescent="0.3">
      <c r="A6" s="1">
        <v>45670</v>
      </c>
      <c r="B6" t="s">
        <v>11</v>
      </c>
      <c r="C6" t="s">
        <v>9</v>
      </c>
      <c r="D6">
        <v>94.4</v>
      </c>
      <c r="E6">
        <v>11.68</v>
      </c>
      <c r="F6">
        <v>17.98</v>
      </c>
      <c r="G6">
        <v>20</v>
      </c>
      <c r="H6">
        <f t="shared" si="0"/>
        <v>-2.0199999999999996</v>
      </c>
      <c r="I6" t="s">
        <v>16</v>
      </c>
    </row>
    <row r="7" spans="1:13" x14ac:dyDescent="0.3">
      <c r="A7" s="1">
        <v>45673</v>
      </c>
      <c r="B7" t="s">
        <v>14</v>
      </c>
      <c r="C7" t="s">
        <v>15</v>
      </c>
      <c r="D7">
        <v>105.8</v>
      </c>
      <c r="E7">
        <v>22.25</v>
      </c>
      <c r="F7">
        <v>30.11</v>
      </c>
      <c r="G7">
        <v>30</v>
      </c>
      <c r="H7">
        <f t="shared" si="0"/>
        <v>0.10999999999999943</v>
      </c>
      <c r="I7" t="s">
        <v>10</v>
      </c>
    </row>
    <row r="8" spans="1:13" x14ac:dyDescent="0.3">
      <c r="A8" s="1">
        <v>45676</v>
      </c>
      <c r="B8" t="s">
        <v>8</v>
      </c>
      <c r="C8" t="s">
        <v>15</v>
      </c>
      <c r="D8">
        <v>116.4</v>
      </c>
      <c r="E8">
        <v>19.09</v>
      </c>
      <c r="F8">
        <v>33.39</v>
      </c>
      <c r="G8">
        <v>30</v>
      </c>
      <c r="H8">
        <f t="shared" si="0"/>
        <v>3.3900000000000006</v>
      </c>
      <c r="I8" t="s">
        <v>10</v>
      </c>
    </row>
    <row r="9" spans="1:13" x14ac:dyDescent="0.3">
      <c r="A9" s="1">
        <v>45679</v>
      </c>
      <c r="B9" t="s">
        <v>8</v>
      </c>
      <c r="C9" t="s">
        <v>15</v>
      </c>
      <c r="D9">
        <v>114.5</v>
      </c>
      <c r="E9">
        <v>18.059999999999999</v>
      </c>
      <c r="F9">
        <v>30.63</v>
      </c>
      <c r="G9">
        <v>30</v>
      </c>
      <c r="H9">
        <f t="shared" si="0"/>
        <v>0.62999999999999901</v>
      </c>
      <c r="I9" t="s">
        <v>10</v>
      </c>
    </row>
    <row r="10" spans="1:13" x14ac:dyDescent="0.3">
      <c r="A10" s="1">
        <v>45682</v>
      </c>
      <c r="B10" t="s">
        <v>11</v>
      </c>
      <c r="C10" t="s">
        <v>15</v>
      </c>
      <c r="D10">
        <v>110.5</v>
      </c>
      <c r="E10">
        <v>21.49</v>
      </c>
      <c r="F10">
        <v>33.61</v>
      </c>
      <c r="G10">
        <v>30</v>
      </c>
      <c r="H10">
        <f t="shared" si="0"/>
        <v>3.6099999999999994</v>
      </c>
      <c r="I10" t="s">
        <v>10</v>
      </c>
    </row>
    <row r="11" spans="1:13" x14ac:dyDescent="0.3">
      <c r="A11" s="1">
        <v>45685</v>
      </c>
      <c r="B11" t="s">
        <v>11</v>
      </c>
      <c r="C11" t="s">
        <v>12</v>
      </c>
      <c r="D11">
        <v>112.9</v>
      </c>
      <c r="E11">
        <v>16.260000000000002</v>
      </c>
      <c r="F11">
        <v>26.67</v>
      </c>
      <c r="G11">
        <v>25</v>
      </c>
      <c r="H11">
        <f t="shared" si="0"/>
        <v>1.6700000000000017</v>
      </c>
      <c r="I11" t="s">
        <v>10</v>
      </c>
    </row>
    <row r="12" spans="1:13" x14ac:dyDescent="0.3">
      <c r="A12" s="1">
        <v>45688</v>
      </c>
      <c r="B12" t="s">
        <v>13</v>
      </c>
      <c r="C12" t="s">
        <v>15</v>
      </c>
      <c r="D12">
        <v>104.5</v>
      </c>
      <c r="E12">
        <v>19.04</v>
      </c>
      <c r="F12">
        <v>28.43</v>
      </c>
      <c r="G12">
        <v>30</v>
      </c>
      <c r="H12">
        <f t="shared" si="0"/>
        <v>-1.5700000000000003</v>
      </c>
      <c r="I12" t="s">
        <v>16</v>
      </c>
    </row>
    <row r="13" spans="1:13" x14ac:dyDescent="0.3">
      <c r="A13" s="1">
        <v>45691</v>
      </c>
      <c r="B13" t="s">
        <v>8</v>
      </c>
      <c r="C13" t="s">
        <v>15</v>
      </c>
      <c r="D13">
        <v>93.5</v>
      </c>
      <c r="E13">
        <v>19.28</v>
      </c>
      <c r="F13">
        <v>28.39</v>
      </c>
      <c r="G13">
        <v>30</v>
      </c>
      <c r="H13">
        <f t="shared" si="0"/>
        <v>-1.6099999999999994</v>
      </c>
      <c r="I13" t="s">
        <v>16</v>
      </c>
    </row>
    <row r="14" spans="1:13" x14ac:dyDescent="0.3">
      <c r="A14" s="1">
        <v>45694</v>
      </c>
      <c r="B14" t="s">
        <v>11</v>
      </c>
      <c r="C14" t="s">
        <v>12</v>
      </c>
      <c r="D14">
        <v>102.5</v>
      </c>
      <c r="E14">
        <v>15.78</v>
      </c>
      <c r="F14">
        <v>23.69</v>
      </c>
      <c r="G14">
        <v>25</v>
      </c>
      <c r="H14">
        <f t="shared" si="0"/>
        <v>-1.3099999999999987</v>
      </c>
      <c r="I14" t="s">
        <v>16</v>
      </c>
    </row>
    <row r="15" spans="1:13" x14ac:dyDescent="0.3">
      <c r="A15" s="1">
        <v>45697</v>
      </c>
      <c r="B15" t="s">
        <v>8</v>
      </c>
      <c r="C15" t="s">
        <v>9</v>
      </c>
      <c r="D15">
        <v>93.4</v>
      </c>
      <c r="E15">
        <v>11.7</v>
      </c>
      <c r="F15">
        <v>18.3</v>
      </c>
      <c r="G15">
        <v>20</v>
      </c>
      <c r="H15">
        <f t="shared" si="0"/>
        <v>-1.6999999999999993</v>
      </c>
      <c r="I15" t="s">
        <v>16</v>
      </c>
    </row>
    <row r="16" spans="1:13" x14ac:dyDescent="0.3">
      <c r="A16" s="1">
        <v>45700</v>
      </c>
      <c r="B16" t="s">
        <v>14</v>
      </c>
      <c r="C16" t="s">
        <v>9</v>
      </c>
      <c r="D16">
        <v>92.4</v>
      </c>
      <c r="E16">
        <v>14.23</v>
      </c>
      <c r="F16">
        <v>21.51</v>
      </c>
      <c r="G16">
        <v>20</v>
      </c>
      <c r="H16">
        <f t="shared" si="0"/>
        <v>1.5100000000000016</v>
      </c>
      <c r="I16" t="s">
        <v>10</v>
      </c>
    </row>
    <row r="17" spans="1:9" x14ac:dyDescent="0.3">
      <c r="A17" s="1">
        <v>45703</v>
      </c>
      <c r="B17" t="s">
        <v>11</v>
      </c>
      <c r="C17" t="s">
        <v>12</v>
      </c>
      <c r="D17">
        <v>119.9</v>
      </c>
      <c r="E17">
        <v>18.54</v>
      </c>
      <c r="F17">
        <v>27.37</v>
      </c>
      <c r="G17">
        <v>25</v>
      </c>
      <c r="H17">
        <f t="shared" si="0"/>
        <v>2.370000000000001</v>
      </c>
      <c r="I17" t="s">
        <v>10</v>
      </c>
    </row>
    <row r="18" spans="1:9" x14ac:dyDescent="0.3">
      <c r="A18" s="1">
        <v>45706</v>
      </c>
      <c r="B18" t="s">
        <v>11</v>
      </c>
      <c r="C18" t="s">
        <v>9</v>
      </c>
      <c r="D18">
        <v>94.9</v>
      </c>
      <c r="E18">
        <v>13.5</v>
      </c>
      <c r="F18">
        <v>18.43</v>
      </c>
      <c r="G18">
        <v>20</v>
      </c>
      <c r="H18">
        <f t="shared" si="0"/>
        <v>-1.5700000000000003</v>
      </c>
      <c r="I18" t="s">
        <v>16</v>
      </c>
    </row>
    <row r="19" spans="1:9" x14ac:dyDescent="0.3">
      <c r="A19" s="1">
        <v>45709</v>
      </c>
      <c r="B19" t="s">
        <v>14</v>
      </c>
      <c r="C19" t="s">
        <v>12</v>
      </c>
      <c r="D19">
        <v>88.7</v>
      </c>
      <c r="E19">
        <v>14.32</v>
      </c>
      <c r="F19">
        <v>26.5</v>
      </c>
      <c r="G19">
        <v>25</v>
      </c>
      <c r="H19">
        <f t="shared" si="0"/>
        <v>1.5</v>
      </c>
      <c r="I19" t="s">
        <v>10</v>
      </c>
    </row>
    <row r="20" spans="1:9" x14ac:dyDescent="0.3">
      <c r="A20" s="1">
        <v>45712</v>
      </c>
      <c r="B20" t="s">
        <v>11</v>
      </c>
      <c r="C20" t="s">
        <v>12</v>
      </c>
      <c r="D20">
        <v>78.8</v>
      </c>
      <c r="E20">
        <v>18.21</v>
      </c>
      <c r="F20">
        <v>28.14</v>
      </c>
      <c r="G20">
        <v>25</v>
      </c>
      <c r="H20">
        <f t="shared" si="0"/>
        <v>3.1400000000000006</v>
      </c>
      <c r="I20" t="s">
        <v>10</v>
      </c>
    </row>
    <row r="21" spans="1:9" x14ac:dyDescent="0.3">
      <c r="A21" s="1">
        <v>45715</v>
      </c>
      <c r="B21" t="s">
        <v>17</v>
      </c>
      <c r="C21" t="s">
        <v>9</v>
      </c>
      <c r="D21">
        <v>83.9</v>
      </c>
      <c r="E21">
        <v>14.23</v>
      </c>
      <c r="F21">
        <v>22.63</v>
      </c>
      <c r="G21">
        <v>20</v>
      </c>
      <c r="H21">
        <f t="shared" si="0"/>
        <v>2.629999999999999</v>
      </c>
      <c r="I21" t="s">
        <v>10</v>
      </c>
    </row>
    <row r="22" spans="1:9" x14ac:dyDescent="0.3">
      <c r="A22" s="1">
        <v>45718</v>
      </c>
      <c r="B22" t="s">
        <v>8</v>
      </c>
      <c r="C22" t="s">
        <v>9</v>
      </c>
      <c r="D22">
        <v>93.7</v>
      </c>
      <c r="E22">
        <v>11.09</v>
      </c>
      <c r="F22">
        <v>21.46</v>
      </c>
      <c r="G22">
        <v>20</v>
      </c>
      <c r="H22">
        <f t="shared" si="0"/>
        <v>1.4600000000000009</v>
      </c>
      <c r="I22" t="s">
        <v>10</v>
      </c>
    </row>
    <row r="23" spans="1:9" x14ac:dyDescent="0.3">
      <c r="A23" s="1">
        <v>45721</v>
      </c>
      <c r="B23" t="s">
        <v>8</v>
      </c>
      <c r="C23" t="s">
        <v>9</v>
      </c>
      <c r="D23">
        <v>83.9</v>
      </c>
      <c r="E23">
        <v>14.98</v>
      </c>
      <c r="F23">
        <v>17.29</v>
      </c>
      <c r="G23">
        <v>20</v>
      </c>
      <c r="H23">
        <f t="shared" si="0"/>
        <v>-2.7100000000000009</v>
      </c>
      <c r="I23" t="s">
        <v>16</v>
      </c>
    </row>
    <row r="24" spans="1:9" x14ac:dyDescent="0.3">
      <c r="A24" s="1">
        <v>45724</v>
      </c>
      <c r="B24" t="s">
        <v>14</v>
      </c>
      <c r="C24" t="s">
        <v>9</v>
      </c>
      <c r="D24">
        <v>83.2</v>
      </c>
      <c r="E24">
        <v>14.57</v>
      </c>
      <c r="F24">
        <v>22.69</v>
      </c>
      <c r="G24">
        <v>20</v>
      </c>
      <c r="H24">
        <f t="shared" si="0"/>
        <v>2.6900000000000013</v>
      </c>
      <c r="I24" t="s">
        <v>10</v>
      </c>
    </row>
    <row r="25" spans="1:9" x14ac:dyDescent="0.3">
      <c r="A25" s="1">
        <v>45727</v>
      </c>
      <c r="B25" t="s">
        <v>11</v>
      </c>
      <c r="C25" t="s">
        <v>12</v>
      </c>
      <c r="D25">
        <v>75.8</v>
      </c>
      <c r="E25">
        <v>16.690000000000001</v>
      </c>
      <c r="F25">
        <v>24.06</v>
      </c>
      <c r="G25">
        <v>25</v>
      </c>
      <c r="H25">
        <f t="shared" si="0"/>
        <v>-0.94000000000000128</v>
      </c>
      <c r="I25" t="s">
        <v>16</v>
      </c>
    </row>
    <row r="26" spans="1:9" x14ac:dyDescent="0.3">
      <c r="A26" s="1">
        <v>45730</v>
      </c>
      <c r="B26" t="s">
        <v>13</v>
      </c>
      <c r="C26" t="s">
        <v>15</v>
      </c>
      <c r="D26">
        <v>105.2</v>
      </c>
      <c r="E26">
        <v>22.42</v>
      </c>
      <c r="F26">
        <v>28.93</v>
      </c>
      <c r="G26">
        <v>30</v>
      </c>
      <c r="H26">
        <f t="shared" si="0"/>
        <v>-1.0700000000000003</v>
      </c>
      <c r="I26" t="s">
        <v>16</v>
      </c>
    </row>
    <row r="27" spans="1:9" x14ac:dyDescent="0.3">
      <c r="A27" s="1">
        <v>45733</v>
      </c>
      <c r="B27" t="s">
        <v>14</v>
      </c>
      <c r="C27" t="s">
        <v>12</v>
      </c>
      <c r="D27">
        <v>106.7</v>
      </c>
      <c r="E27">
        <v>17.09</v>
      </c>
      <c r="F27">
        <v>26.75</v>
      </c>
      <c r="G27">
        <v>25</v>
      </c>
      <c r="H27">
        <f t="shared" si="0"/>
        <v>1.75</v>
      </c>
      <c r="I27" t="s">
        <v>10</v>
      </c>
    </row>
    <row r="28" spans="1:9" x14ac:dyDescent="0.3">
      <c r="A28" s="1">
        <v>45736</v>
      </c>
      <c r="B28" t="s">
        <v>8</v>
      </c>
      <c r="C28" t="s">
        <v>12</v>
      </c>
      <c r="D28">
        <v>86.3</v>
      </c>
      <c r="E28">
        <v>14.05</v>
      </c>
      <c r="F28">
        <v>26.44</v>
      </c>
      <c r="G28">
        <v>25</v>
      </c>
      <c r="H28">
        <f t="shared" si="0"/>
        <v>1.4400000000000013</v>
      </c>
      <c r="I28" t="s">
        <v>10</v>
      </c>
    </row>
    <row r="29" spans="1:9" x14ac:dyDescent="0.3">
      <c r="A29" s="1">
        <v>45739</v>
      </c>
      <c r="B29" t="s">
        <v>13</v>
      </c>
      <c r="C29" t="s">
        <v>9</v>
      </c>
      <c r="D29">
        <v>91.5</v>
      </c>
      <c r="E29">
        <v>11.12</v>
      </c>
      <c r="F29">
        <v>18.850000000000001</v>
      </c>
      <c r="G29">
        <v>20</v>
      </c>
      <c r="H29">
        <f t="shared" si="0"/>
        <v>-1.1499999999999986</v>
      </c>
      <c r="I29" t="s">
        <v>16</v>
      </c>
    </row>
    <row r="30" spans="1:9" x14ac:dyDescent="0.3">
      <c r="A30" s="1">
        <v>45742</v>
      </c>
      <c r="B30" t="s">
        <v>11</v>
      </c>
      <c r="C30" t="s">
        <v>9</v>
      </c>
      <c r="D30">
        <v>106.5</v>
      </c>
      <c r="E30">
        <v>14.2</v>
      </c>
      <c r="F30">
        <v>19.95</v>
      </c>
      <c r="G30">
        <v>20</v>
      </c>
      <c r="H30">
        <f t="shared" si="0"/>
        <v>-5.0000000000000711E-2</v>
      </c>
      <c r="I30" t="s">
        <v>16</v>
      </c>
    </row>
    <row r="31" spans="1:9" x14ac:dyDescent="0.3">
      <c r="A31" s="1">
        <v>45745</v>
      </c>
      <c r="B31" t="s">
        <v>11</v>
      </c>
      <c r="C31" t="s">
        <v>15</v>
      </c>
      <c r="D31">
        <v>88</v>
      </c>
      <c r="E31">
        <v>19.739999999999998</v>
      </c>
      <c r="F31">
        <v>28.96</v>
      </c>
      <c r="G31">
        <v>30</v>
      </c>
      <c r="H31">
        <f t="shared" si="0"/>
        <v>-1.0399999999999991</v>
      </c>
      <c r="I31" t="s">
        <v>16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H1" sqref="H1:I6"/>
    </sheetView>
  </sheetViews>
  <sheetFormatPr defaultRowHeight="14.4" x14ac:dyDescent="0.3"/>
  <cols>
    <col min="1" max="1" width="15.33203125" customWidth="1"/>
    <col min="2" max="2" width="9.77734375" customWidth="1"/>
    <col min="3" max="3" width="23.44140625" customWidth="1"/>
    <col min="4" max="4" width="16.21875" customWidth="1"/>
    <col min="8" max="8" width="11.6640625" customWidth="1"/>
  </cols>
  <sheetData>
    <row r="1" spans="1:9" x14ac:dyDescent="0.3">
      <c r="A1" t="s">
        <v>25</v>
      </c>
      <c r="B1" t="s">
        <v>26</v>
      </c>
      <c r="C1" t="s">
        <v>27</v>
      </c>
      <c r="D1" t="s">
        <v>28</v>
      </c>
      <c r="H1" t="s">
        <v>19</v>
      </c>
      <c r="I1" t="s">
        <v>20</v>
      </c>
    </row>
    <row r="2" spans="1:9" x14ac:dyDescent="0.3">
      <c r="A2" t="s">
        <v>29</v>
      </c>
      <c r="B2" t="s">
        <v>30</v>
      </c>
      <c r="C2" t="s">
        <v>31</v>
      </c>
      <c r="D2" t="s">
        <v>32</v>
      </c>
      <c r="H2" t="s">
        <v>43</v>
      </c>
      <c r="I2" s="3">
        <f>COUNTA(MaterialData[Approval Status])</f>
        <v>20</v>
      </c>
    </row>
    <row r="3" spans="1:9" x14ac:dyDescent="0.3">
      <c r="A3" t="s">
        <v>33</v>
      </c>
      <c r="B3" t="s">
        <v>34</v>
      </c>
      <c r="C3" t="s">
        <v>35</v>
      </c>
      <c r="D3" t="s">
        <v>36</v>
      </c>
      <c r="H3" t="s">
        <v>44</v>
      </c>
      <c r="I3" s="4">
        <f>COUNTIF(MaterialData[Approval Status],"Approved")</f>
        <v>13</v>
      </c>
    </row>
    <row r="4" spans="1:9" x14ac:dyDescent="0.3">
      <c r="A4" t="s">
        <v>37</v>
      </c>
      <c r="B4" t="s">
        <v>38</v>
      </c>
      <c r="C4" t="s">
        <v>35</v>
      </c>
      <c r="D4" t="s">
        <v>36</v>
      </c>
      <c r="H4" t="s">
        <v>45</v>
      </c>
      <c r="I4" s="3">
        <f>COUNTIF(MaterialData[Approval Status],"Pending")</f>
        <v>7</v>
      </c>
    </row>
    <row r="5" spans="1:9" x14ac:dyDescent="0.3">
      <c r="A5" t="s">
        <v>39</v>
      </c>
      <c r="B5" t="s">
        <v>40</v>
      </c>
      <c r="C5" t="s">
        <v>31</v>
      </c>
      <c r="D5" t="s">
        <v>32</v>
      </c>
      <c r="H5" t="s">
        <v>46</v>
      </c>
      <c r="I5" s="5">
        <f>(I4/I2)</f>
        <v>0.35</v>
      </c>
    </row>
    <row r="6" spans="1:9" x14ac:dyDescent="0.3">
      <c r="A6" t="s">
        <v>33</v>
      </c>
      <c r="B6" t="s">
        <v>30</v>
      </c>
      <c r="C6" t="s">
        <v>31</v>
      </c>
      <c r="D6" t="s">
        <v>32</v>
      </c>
      <c r="H6" t="s">
        <v>67</v>
      </c>
      <c r="I6" s="6">
        <f>(I3/I2)</f>
        <v>0.65</v>
      </c>
    </row>
    <row r="7" spans="1:9" x14ac:dyDescent="0.3">
      <c r="A7" t="s">
        <v>39</v>
      </c>
      <c r="B7" t="s">
        <v>34</v>
      </c>
      <c r="C7" t="s">
        <v>35</v>
      </c>
      <c r="D7" t="s">
        <v>36</v>
      </c>
    </row>
    <row r="8" spans="1:9" x14ac:dyDescent="0.3">
      <c r="A8" t="s">
        <v>41</v>
      </c>
      <c r="B8" t="s">
        <v>30</v>
      </c>
      <c r="C8" t="s">
        <v>35</v>
      </c>
      <c r="D8" t="s">
        <v>36</v>
      </c>
    </row>
    <row r="9" spans="1:9" x14ac:dyDescent="0.3">
      <c r="A9" t="s">
        <v>33</v>
      </c>
      <c r="B9" t="s">
        <v>38</v>
      </c>
      <c r="C9" t="s">
        <v>35</v>
      </c>
      <c r="D9" t="s">
        <v>36</v>
      </c>
    </row>
    <row r="10" spans="1:9" x14ac:dyDescent="0.3">
      <c r="A10" t="s">
        <v>29</v>
      </c>
      <c r="B10" t="s">
        <v>40</v>
      </c>
      <c r="C10" t="s">
        <v>31</v>
      </c>
      <c r="D10" t="s">
        <v>32</v>
      </c>
    </row>
    <row r="11" spans="1:9" x14ac:dyDescent="0.3">
      <c r="A11" t="s">
        <v>39</v>
      </c>
      <c r="B11" t="s">
        <v>42</v>
      </c>
      <c r="C11" t="s">
        <v>31</v>
      </c>
      <c r="D11" t="s">
        <v>32</v>
      </c>
    </row>
    <row r="12" spans="1:9" x14ac:dyDescent="0.3">
      <c r="A12" t="s">
        <v>37</v>
      </c>
      <c r="B12" t="s">
        <v>40</v>
      </c>
      <c r="C12" t="s">
        <v>35</v>
      </c>
      <c r="D12" t="s">
        <v>36</v>
      </c>
    </row>
    <row r="13" spans="1:9" x14ac:dyDescent="0.3">
      <c r="A13" t="s">
        <v>33</v>
      </c>
      <c r="B13" t="s">
        <v>38</v>
      </c>
      <c r="C13" t="s">
        <v>31</v>
      </c>
      <c r="D13" t="s">
        <v>32</v>
      </c>
    </row>
    <row r="14" spans="1:9" x14ac:dyDescent="0.3">
      <c r="A14" t="s">
        <v>29</v>
      </c>
      <c r="B14" t="s">
        <v>38</v>
      </c>
      <c r="C14" t="s">
        <v>31</v>
      </c>
      <c r="D14" t="s">
        <v>32</v>
      </c>
    </row>
    <row r="15" spans="1:9" x14ac:dyDescent="0.3">
      <c r="A15" t="s">
        <v>29</v>
      </c>
      <c r="B15" t="s">
        <v>40</v>
      </c>
      <c r="C15" t="s">
        <v>35</v>
      </c>
      <c r="D15" t="s">
        <v>36</v>
      </c>
    </row>
    <row r="16" spans="1:9" x14ac:dyDescent="0.3">
      <c r="A16" t="s">
        <v>33</v>
      </c>
      <c r="B16" t="s">
        <v>42</v>
      </c>
      <c r="C16" t="s">
        <v>35</v>
      </c>
      <c r="D16" t="s">
        <v>36</v>
      </c>
    </row>
    <row r="17" spans="1:4" x14ac:dyDescent="0.3">
      <c r="A17" t="s">
        <v>37</v>
      </c>
      <c r="B17" t="s">
        <v>34</v>
      </c>
      <c r="C17" t="s">
        <v>35</v>
      </c>
      <c r="D17" t="s">
        <v>36</v>
      </c>
    </row>
    <row r="18" spans="1:4" x14ac:dyDescent="0.3">
      <c r="A18" t="s">
        <v>41</v>
      </c>
      <c r="B18" t="s">
        <v>40</v>
      </c>
      <c r="C18" t="s">
        <v>35</v>
      </c>
      <c r="D18" t="s">
        <v>36</v>
      </c>
    </row>
    <row r="19" spans="1:4" x14ac:dyDescent="0.3">
      <c r="A19" t="s">
        <v>39</v>
      </c>
      <c r="B19" t="s">
        <v>42</v>
      </c>
      <c r="C19" t="s">
        <v>35</v>
      </c>
      <c r="D19" t="s">
        <v>36</v>
      </c>
    </row>
    <row r="20" spans="1:4" x14ac:dyDescent="0.3">
      <c r="A20" t="s">
        <v>29</v>
      </c>
      <c r="B20" t="s">
        <v>38</v>
      </c>
      <c r="C20" t="s">
        <v>35</v>
      </c>
      <c r="D20" t="s">
        <v>36</v>
      </c>
    </row>
    <row r="21" spans="1:4" x14ac:dyDescent="0.3">
      <c r="A21" t="s">
        <v>37</v>
      </c>
      <c r="B21" t="s">
        <v>30</v>
      </c>
      <c r="C21" t="s">
        <v>35</v>
      </c>
      <c r="D21" t="s">
        <v>36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workbookViewId="0">
      <selection activeCell="B7" sqref="B7"/>
    </sheetView>
  </sheetViews>
  <sheetFormatPr defaultRowHeight="14.4" x14ac:dyDescent="0.3"/>
  <cols>
    <col min="1" max="1" width="10.33203125" bestFit="1" customWidth="1"/>
    <col min="2" max="2" width="9.21875" customWidth="1"/>
    <col min="3" max="3" width="16.21875" customWidth="1"/>
    <col min="4" max="4" width="13.109375" customWidth="1"/>
    <col min="5" max="5" width="18.5546875" customWidth="1"/>
    <col min="6" max="6" width="18.6640625" customWidth="1"/>
    <col min="9" max="9" width="11.6640625" customWidth="1"/>
  </cols>
  <sheetData>
    <row r="1" spans="1:10" x14ac:dyDescent="0.3">
      <c r="A1" t="s">
        <v>0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I1" t="s">
        <v>19</v>
      </c>
      <c r="J1" t="s">
        <v>20</v>
      </c>
    </row>
    <row r="2" spans="1:10" x14ac:dyDescent="0.3">
      <c r="A2" s="1">
        <v>45689</v>
      </c>
      <c r="B2" t="s">
        <v>52</v>
      </c>
      <c r="C2" t="s">
        <v>53</v>
      </c>
      <c r="D2" t="s">
        <v>54</v>
      </c>
      <c r="E2" t="s">
        <v>35</v>
      </c>
      <c r="F2" t="s">
        <v>55</v>
      </c>
      <c r="I2" t="s">
        <v>64</v>
      </c>
      <c r="J2">
        <f>COUNTA(SiteInspectionData[Non-Conformance])</f>
        <v>40</v>
      </c>
    </row>
    <row r="3" spans="1:10" x14ac:dyDescent="0.3">
      <c r="A3" s="1">
        <v>45690</v>
      </c>
      <c r="B3" t="s">
        <v>52</v>
      </c>
      <c r="C3" t="s">
        <v>56</v>
      </c>
      <c r="D3" t="s">
        <v>54</v>
      </c>
      <c r="E3" t="s">
        <v>35</v>
      </c>
      <c r="F3" t="s">
        <v>55</v>
      </c>
      <c r="I3" t="s">
        <v>65</v>
      </c>
      <c r="J3">
        <f>COUNTIF(SiteInspectionData[Non-Conformance],"Yes")</f>
        <v>21</v>
      </c>
    </row>
    <row r="4" spans="1:10" x14ac:dyDescent="0.3">
      <c r="A4" s="1">
        <v>45691</v>
      </c>
      <c r="B4" t="s">
        <v>57</v>
      </c>
      <c r="C4" t="s">
        <v>53</v>
      </c>
      <c r="D4" t="s">
        <v>54</v>
      </c>
      <c r="E4" t="s">
        <v>35</v>
      </c>
      <c r="F4" t="s">
        <v>55</v>
      </c>
      <c r="I4" t="s">
        <v>66</v>
      </c>
      <c r="J4" s="2">
        <f>J3/J2</f>
        <v>0.52500000000000002</v>
      </c>
    </row>
    <row r="5" spans="1:10" x14ac:dyDescent="0.3">
      <c r="A5" s="1">
        <v>45692</v>
      </c>
      <c r="B5" t="s">
        <v>58</v>
      </c>
      <c r="C5" t="s">
        <v>56</v>
      </c>
      <c r="D5" t="s">
        <v>54</v>
      </c>
      <c r="E5" t="s">
        <v>35</v>
      </c>
      <c r="F5" t="s">
        <v>55</v>
      </c>
    </row>
    <row r="6" spans="1:10" x14ac:dyDescent="0.3">
      <c r="A6" s="1">
        <v>45693</v>
      </c>
      <c r="B6" t="s">
        <v>57</v>
      </c>
      <c r="C6" t="s">
        <v>59</v>
      </c>
      <c r="D6" t="s">
        <v>54</v>
      </c>
      <c r="E6" t="s">
        <v>35</v>
      </c>
      <c r="F6" t="s">
        <v>55</v>
      </c>
    </row>
    <row r="7" spans="1:10" x14ac:dyDescent="0.3">
      <c r="A7" s="1">
        <v>45694</v>
      </c>
      <c r="B7" t="s">
        <v>60</v>
      </c>
      <c r="C7" t="s">
        <v>59</v>
      </c>
      <c r="D7" t="s">
        <v>54</v>
      </c>
      <c r="E7" t="s">
        <v>35</v>
      </c>
      <c r="F7" t="s">
        <v>55</v>
      </c>
    </row>
    <row r="8" spans="1:10" x14ac:dyDescent="0.3">
      <c r="A8" s="1">
        <v>45695</v>
      </c>
      <c r="B8" t="s">
        <v>58</v>
      </c>
      <c r="C8" t="s">
        <v>61</v>
      </c>
      <c r="D8" t="s">
        <v>54</v>
      </c>
      <c r="E8" t="s">
        <v>35</v>
      </c>
      <c r="F8" t="s">
        <v>55</v>
      </c>
    </row>
    <row r="9" spans="1:10" x14ac:dyDescent="0.3">
      <c r="A9" s="1">
        <v>45696</v>
      </c>
      <c r="B9" t="s">
        <v>60</v>
      </c>
      <c r="C9" t="s">
        <v>59</v>
      </c>
      <c r="D9" t="s">
        <v>54</v>
      </c>
      <c r="E9" t="s">
        <v>35</v>
      </c>
      <c r="F9" t="s">
        <v>55</v>
      </c>
    </row>
    <row r="10" spans="1:10" x14ac:dyDescent="0.3">
      <c r="A10" s="1">
        <v>45697</v>
      </c>
      <c r="B10" t="s">
        <v>57</v>
      </c>
      <c r="C10" t="s">
        <v>61</v>
      </c>
      <c r="D10" t="s">
        <v>62</v>
      </c>
      <c r="E10" t="s">
        <v>31</v>
      </c>
      <c r="F10" t="s">
        <v>36</v>
      </c>
    </row>
    <row r="11" spans="1:10" x14ac:dyDescent="0.3">
      <c r="A11" s="1">
        <v>45698</v>
      </c>
      <c r="B11" t="s">
        <v>60</v>
      </c>
      <c r="C11" t="s">
        <v>56</v>
      </c>
      <c r="D11" t="s">
        <v>54</v>
      </c>
      <c r="E11" t="s">
        <v>35</v>
      </c>
      <c r="F11" t="s">
        <v>55</v>
      </c>
    </row>
    <row r="12" spans="1:10" x14ac:dyDescent="0.3">
      <c r="A12" s="1">
        <v>45699</v>
      </c>
      <c r="B12" t="s">
        <v>63</v>
      </c>
      <c r="C12" t="s">
        <v>59</v>
      </c>
      <c r="D12" t="s">
        <v>62</v>
      </c>
      <c r="E12" t="s">
        <v>31</v>
      </c>
      <c r="F12" t="s">
        <v>36</v>
      </c>
    </row>
    <row r="13" spans="1:10" x14ac:dyDescent="0.3">
      <c r="A13" s="1">
        <v>45700</v>
      </c>
      <c r="B13" t="s">
        <v>52</v>
      </c>
      <c r="C13" t="s">
        <v>59</v>
      </c>
      <c r="D13" t="s">
        <v>54</v>
      </c>
      <c r="E13" t="s">
        <v>35</v>
      </c>
      <c r="F13" t="s">
        <v>55</v>
      </c>
    </row>
    <row r="14" spans="1:10" x14ac:dyDescent="0.3">
      <c r="A14" s="1">
        <v>45701</v>
      </c>
      <c r="B14" t="s">
        <v>52</v>
      </c>
      <c r="C14" t="s">
        <v>56</v>
      </c>
      <c r="D14" t="s">
        <v>62</v>
      </c>
      <c r="E14" t="s">
        <v>31</v>
      </c>
      <c r="F14" t="s">
        <v>36</v>
      </c>
    </row>
    <row r="15" spans="1:10" x14ac:dyDescent="0.3">
      <c r="A15" s="1">
        <v>45702</v>
      </c>
      <c r="B15" t="s">
        <v>63</v>
      </c>
      <c r="C15" t="s">
        <v>56</v>
      </c>
      <c r="D15" t="s">
        <v>54</v>
      </c>
      <c r="E15" t="s">
        <v>35</v>
      </c>
      <c r="F15" t="s">
        <v>55</v>
      </c>
    </row>
    <row r="16" spans="1:10" x14ac:dyDescent="0.3">
      <c r="A16" s="1">
        <v>45703</v>
      </c>
      <c r="B16" t="s">
        <v>60</v>
      </c>
      <c r="C16" t="s">
        <v>56</v>
      </c>
      <c r="D16" t="s">
        <v>62</v>
      </c>
      <c r="E16" t="s">
        <v>31</v>
      </c>
      <c r="F16" t="s">
        <v>36</v>
      </c>
    </row>
    <row r="17" spans="1:6" x14ac:dyDescent="0.3">
      <c r="A17" s="1">
        <v>45704</v>
      </c>
      <c r="B17" t="s">
        <v>57</v>
      </c>
      <c r="C17" t="s">
        <v>53</v>
      </c>
      <c r="D17" t="s">
        <v>62</v>
      </c>
      <c r="E17" t="s">
        <v>31</v>
      </c>
      <c r="F17" t="s">
        <v>36</v>
      </c>
    </row>
    <row r="18" spans="1:6" x14ac:dyDescent="0.3">
      <c r="A18" s="1">
        <v>45705</v>
      </c>
      <c r="B18" t="s">
        <v>52</v>
      </c>
      <c r="C18" t="s">
        <v>61</v>
      </c>
      <c r="D18" t="s">
        <v>62</v>
      </c>
      <c r="E18" t="s">
        <v>31</v>
      </c>
      <c r="F18" t="s">
        <v>36</v>
      </c>
    </row>
    <row r="19" spans="1:6" x14ac:dyDescent="0.3">
      <c r="A19" s="1">
        <v>45706</v>
      </c>
      <c r="B19" t="s">
        <v>63</v>
      </c>
      <c r="C19" t="s">
        <v>56</v>
      </c>
      <c r="D19" t="s">
        <v>62</v>
      </c>
      <c r="E19" t="s">
        <v>31</v>
      </c>
      <c r="F19" t="s">
        <v>36</v>
      </c>
    </row>
    <row r="20" spans="1:6" x14ac:dyDescent="0.3">
      <c r="A20" s="1">
        <v>45707</v>
      </c>
      <c r="B20" t="s">
        <v>58</v>
      </c>
      <c r="C20" t="s">
        <v>61</v>
      </c>
      <c r="D20" t="s">
        <v>62</v>
      </c>
      <c r="E20" t="s">
        <v>31</v>
      </c>
      <c r="F20" t="s">
        <v>36</v>
      </c>
    </row>
    <row r="21" spans="1:6" x14ac:dyDescent="0.3">
      <c r="A21" s="1">
        <v>45708</v>
      </c>
      <c r="B21" t="s">
        <v>57</v>
      </c>
      <c r="C21" t="s">
        <v>53</v>
      </c>
      <c r="D21" t="s">
        <v>54</v>
      </c>
      <c r="E21" t="s">
        <v>35</v>
      </c>
      <c r="F21" t="s">
        <v>55</v>
      </c>
    </row>
    <row r="22" spans="1:6" x14ac:dyDescent="0.3">
      <c r="A22" s="1">
        <v>45709</v>
      </c>
      <c r="B22" t="s">
        <v>52</v>
      </c>
      <c r="C22" t="s">
        <v>61</v>
      </c>
      <c r="D22" t="s">
        <v>54</v>
      </c>
      <c r="E22" t="s">
        <v>35</v>
      </c>
      <c r="F22" t="s">
        <v>55</v>
      </c>
    </row>
    <row r="23" spans="1:6" x14ac:dyDescent="0.3">
      <c r="A23" s="1">
        <v>45710</v>
      </c>
      <c r="B23" t="s">
        <v>60</v>
      </c>
      <c r="C23" t="s">
        <v>53</v>
      </c>
      <c r="D23" t="s">
        <v>62</v>
      </c>
      <c r="E23" t="s">
        <v>31</v>
      </c>
      <c r="F23" t="s">
        <v>36</v>
      </c>
    </row>
    <row r="24" spans="1:6" x14ac:dyDescent="0.3">
      <c r="A24" s="1">
        <v>45711</v>
      </c>
      <c r="B24" t="s">
        <v>60</v>
      </c>
      <c r="C24" t="s">
        <v>53</v>
      </c>
      <c r="D24" t="s">
        <v>54</v>
      </c>
      <c r="E24" t="s">
        <v>35</v>
      </c>
      <c r="F24" t="s">
        <v>55</v>
      </c>
    </row>
    <row r="25" spans="1:6" x14ac:dyDescent="0.3">
      <c r="A25" s="1">
        <v>45712</v>
      </c>
      <c r="B25" t="s">
        <v>57</v>
      </c>
      <c r="C25" t="s">
        <v>53</v>
      </c>
      <c r="D25" t="s">
        <v>62</v>
      </c>
      <c r="E25" t="s">
        <v>31</v>
      </c>
      <c r="F25" t="s">
        <v>36</v>
      </c>
    </row>
    <row r="26" spans="1:6" x14ac:dyDescent="0.3">
      <c r="A26" s="1">
        <v>45713</v>
      </c>
      <c r="B26" t="s">
        <v>52</v>
      </c>
      <c r="C26" t="s">
        <v>56</v>
      </c>
      <c r="D26" t="s">
        <v>62</v>
      </c>
      <c r="E26" t="s">
        <v>31</v>
      </c>
      <c r="F26" t="s">
        <v>36</v>
      </c>
    </row>
    <row r="27" spans="1:6" x14ac:dyDescent="0.3">
      <c r="A27" s="1">
        <v>45714</v>
      </c>
      <c r="B27" t="s">
        <v>63</v>
      </c>
      <c r="C27" t="s">
        <v>56</v>
      </c>
      <c r="D27" t="s">
        <v>62</v>
      </c>
      <c r="E27" t="s">
        <v>31</v>
      </c>
      <c r="F27" t="s">
        <v>36</v>
      </c>
    </row>
    <row r="28" spans="1:6" x14ac:dyDescent="0.3">
      <c r="A28" s="1">
        <v>45715</v>
      </c>
      <c r="B28" t="s">
        <v>58</v>
      </c>
      <c r="C28" t="s">
        <v>59</v>
      </c>
      <c r="D28" t="s">
        <v>54</v>
      </c>
      <c r="E28" t="s">
        <v>35</v>
      </c>
      <c r="F28" t="s">
        <v>55</v>
      </c>
    </row>
    <row r="29" spans="1:6" x14ac:dyDescent="0.3">
      <c r="A29" s="1">
        <v>45716</v>
      </c>
      <c r="B29" t="s">
        <v>57</v>
      </c>
      <c r="C29" t="s">
        <v>59</v>
      </c>
      <c r="D29" t="s">
        <v>54</v>
      </c>
      <c r="E29" t="s">
        <v>35</v>
      </c>
      <c r="F29" t="s">
        <v>55</v>
      </c>
    </row>
    <row r="30" spans="1:6" x14ac:dyDescent="0.3">
      <c r="A30" s="1">
        <v>45717</v>
      </c>
      <c r="B30" t="s">
        <v>63</v>
      </c>
      <c r="C30" t="s">
        <v>56</v>
      </c>
      <c r="D30" t="s">
        <v>62</v>
      </c>
      <c r="E30" t="s">
        <v>31</v>
      </c>
      <c r="F30" t="s">
        <v>36</v>
      </c>
    </row>
    <row r="31" spans="1:6" x14ac:dyDescent="0.3">
      <c r="A31" s="1">
        <v>45718</v>
      </c>
      <c r="B31" t="s">
        <v>60</v>
      </c>
      <c r="C31" t="s">
        <v>53</v>
      </c>
      <c r="D31" t="s">
        <v>54</v>
      </c>
      <c r="E31" t="s">
        <v>35</v>
      </c>
      <c r="F31" t="s">
        <v>55</v>
      </c>
    </row>
    <row r="32" spans="1:6" x14ac:dyDescent="0.3">
      <c r="A32" s="1">
        <v>45719</v>
      </c>
      <c r="B32" t="s">
        <v>63</v>
      </c>
      <c r="C32" t="s">
        <v>59</v>
      </c>
      <c r="D32" t="s">
        <v>54</v>
      </c>
      <c r="E32" t="s">
        <v>35</v>
      </c>
      <c r="F32" t="s">
        <v>55</v>
      </c>
    </row>
    <row r="33" spans="1:6" x14ac:dyDescent="0.3">
      <c r="A33" s="1">
        <v>45720</v>
      </c>
      <c r="B33" t="s">
        <v>52</v>
      </c>
      <c r="C33" t="s">
        <v>59</v>
      </c>
      <c r="D33" t="s">
        <v>54</v>
      </c>
      <c r="E33" t="s">
        <v>35</v>
      </c>
      <c r="F33" t="s">
        <v>55</v>
      </c>
    </row>
    <row r="34" spans="1:6" x14ac:dyDescent="0.3">
      <c r="A34" s="1">
        <v>45721</v>
      </c>
      <c r="B34" t="s">
        <v>52</v>
      </c>
      <c r="C34" t="s">
        <v>56</v>
      </c>
      <c r="D34" t="s">
        <v>54</v>
      </c>
      <c r="E34" t="s">
        <v>35</v>
      </c>
      <c r="F34" t="s">
        <v>55</v>
      </c>
    </row>
    <row r="35" spans="1:6" x14ac:dyDescent="0.3">
      <c r="A35" s="1">
        <v>45722</v>
      </c>
      <c r="B35" t="s">
        <v>52</v>
      </c>
      <c r="C35" t="s">
        <v>53</v>
      </c>
      <c r="D35" t="s">
        <v>62</v>
      </c>
      <c r="E35" t="s">
        <v>31</v>
      </c>
      <c r="F35" t="s">
        <v>36</v>
      </c>
    </row>
    <row r="36" spans="1:6" x14ac:dyDescent="0.3">
      <c r="A36" s="1">
        <v>45723</v>
      </c>
      <c r="B36" t="s">
        <v>57</v>
      </c>
      <c r="C36" t="s">
        <v>56</v>
      </c>
      <c r="D36" t="s">
        <v>62</v>
      </c>
      <c r="E36" t="s">
        <v>31</v>
      </c>
      <c r="F36" t="s">
        <v>36</v>
      </c>
    </row>
    <row r="37" spans="1:6" x14ac:dyDescent="0.3">
      <c r="A37" s="1">
        <v>45724</v>
      </c>
      <c r="B37" t="s">
        <v>57</v>
      </c>
      <c r="C37" t="s">
        <v>53</v>
      </c>
      <c r="D37" t="s">
        <v>62</v>
      </c>
      <c r="E37" t="s">
        <v>31</v>
      </c>
      <c r="F37" t="s">
        <v>36</v>
      </c>
    </row>
    <row r="38" spans="1:6" x14ac:dyDescent="0.3">
      <c r="A38" s="1">
        <v>45725</v>
      </c>
      <c r="B38" t="s">
        <v>63</v>
      </c>
      <c r="C38" t="s">
        <v>56</v>
      </c>
      <c r="D38" t="s">
        <v>62</v>
      </c>
      <c r="E38" t="s">
        <v>31</v>
      </c>
      <c r="F38" t="s">
        <v>36</v>
      </c>
    </row>
    <row r="39" spans="1:6" x14ac:dyDescent="0.3">
      <c r="A39" s="1">
        <v>45726</v>
      </c>
      <c r="B39" t="s">
        <v>52</v>
      </c>
      <c r="C39" t="s">
        <v>56</v>
      </c>
      <c r="D39" t="s">
        <v>54</v>
      </c>
      <c r="E39" t="s">
        <v>35</v>
      </c>
      <c r="F39" t="s">
        <v>55</v>
      </c>
    </row>
    <row r="40" spans="1:6" x14ac:dyDescent="0.3">
      <c r="A40" s="1">
        <v>45727</v>
      </c>
      <c r="B40" t="s">
        <v>63</v>
      </c>
      <c r="C40" t="s">
        <v>53</v>
      </c>
      <c r="D40" t="s">
        <v>62</v>
      </c>
      <c r="E40" t="s">
        <v>31</v>
      </c>
      <c r="F40" t="s">
        <v>36</v>
      </c>
    </row>
    <row r="41" spans="1:6" x14ac:dyDescent="0.3">
      <c r="A41" s="1">
        <v>45728</v>
      </c>
      <c r="B41" t="s">
        <v>52</v>
      </c>
      <c r="C41" t="s">
        <v>56</v>
      </c>
      <c r="D41" t="s">
        <v>62</v>
      </c>
      <c r="E41" t="s">
        <v>31</v>
      </c>
      <c r="F41" t="s">
        <v>36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concrete test analysis</vt:lpstr>
      <vt:lpstr>Material approval status</vt:lpstr>
      <vt:lpstr>Site inspection log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Lekshmi J</dc:creator>
  <cp:lastModifiedBy>USER</cp:lastModifiedBy>
  <dcterms:created xsi:type="dcterms:W3CDTF">2026-02-17T15:44:34Z</dcterms:created>
  <dcterms:modified xsi:type="dcterms:W3CDTF">2026-02-19T20:46:09Z</dcterms:modified>
</cp:coreProperties>
</file>