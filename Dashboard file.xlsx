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</sheets>
  <externalReferences>
    <externalReference r:id="rId3"/>
  </externalReferences>
  <calcPr calcId="144525"/>
</workbook>
</file>

<file path=xl/calcChain.xml><?xml version="1.0" encoding="utf-8"?>
<calcChain xmlns="http://schemas.openxmlformats.org/spreadsheetml/2006/main">
  <c r="I4" i="2" l="1"/>
  <c r="I5" i="2" s="1"/>
  <c r="I3" i="2"/>
  <c r="I6" i="2" s="1"/>
  <c r="I2" i="2"/>
  <c r="M4" i="1"/>
  <c r="M3" i="1"/>
  <c r="M5" i="1" s="1"/>
  <c r="M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<sst xmlns="http://schemas.openxmlformats.org/spreadsheetml/2006/main" count="196" uniqueCount="48">
  <si>
    <t>Date</t>
  </si>
  <si>
    <t>Location</t>
  </si>
  <si>
    <t>Concrete Grade</t>
  </si>
  <si>
    <t>Slump (mm)</t>
  </si>
  <si>
    <t>7-Day Strength (MPa)</t>
  </si>
  <si>
    <t>28-Day Strength (MPa)</t>
  </si>
  <si>
    <t>Required Strength (MPa)</t>
  </si>
  <si>
    <t>Difference</t>
  </si>
  <si>
    <t>Status</t>
  </si>
  <si>
    <t>Block B</t>
  </si>
  <si>
    <t>M20</t>
  </si>
  <si>
    <t>Pass</t>
  </si>
  <si>
    <t>Block A</t>
  </si>
  <si>
    <t>M25</t>
  </si>
  <si>
    <t>Column Zone 1</t>
  </si>
  <si>
    <t>Foundation</t>
  </si>
  <si>
    <t>M30</t>
  </si>
  <si>
    <t>Fail</t>
  </si>
  <si>
    <t>Column Zone 2</t>
  </si>
  <si>
    <t>Parameter</t>
  </si>
  <si>
    <t>Value</t>
  </si>
  <si>
    <t>Total tests</t>
  </si>
  <si>
    <t>Failed</t>
  </si>
  <si>
    <t>Passed</t>
  </si>
  <si>
    <t>Failure %</t>
  </si>
  <si>
    <t>Material Name</t>
  </si>
  <si>
    <t>Supplier</t>
  </si>
  <si>
    <t>Test Certificate Available</t>
  </si>
  <si>
    <t>Approval Status</t>
  </si>
  <si>
    <t>Admixture</t>
  </si>
  <si>
    <t>BuildWell Ltd</t>
  </si>
  <si>
    <t>No</t>
  </si>
  <si>
    <t>Pending</t>
  </si>
  <si>
    <t>TMT Steel Fe500</t>
  </si>
  <si>
    <t>ABC Suppliers</t>
  </si>
  <si>
    <t>Yes</t>
  </si>
  <si>
    <t>Approved</t>
  </si>
  <si>
    <t>River Sand</t>
  </si>
  <si>
    <t>InfraSource</t>
  </si>
  <si>
    <t>Coarse Aggregate</t>
  </si>
  <si>
    <t>Structura Pvt Ltd</t>
  </si>
  <si>
    <t>Cement OPC 53</t>
  </si>
  <si>
    <t>ConcreteMart</t>
  </si>
  <si>
    <t>Total Materials</t>
  </si>
  <si>
    <t>Total Approved</t>
  </si>
  <si>
    <t>Total Pending</t>
  </si>
  <si>
    <t>Pending %</t>
  </si>
  <si>
    <t>Approved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</si>
</sst>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ourier Ne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2" fillId="0" borderId="0" xfId="0" applyFont="1" applyAlignment="1">
      <alignment vertical="center"/>
    </xf>
    <xf numFmtId="0" fontId="2" fillId="0" borderId="0" xfId="0" applyFont="1"/>
    <xf numFmtId="9" fontId="2" fillId="0" borderId="0" xfId="1" applyFont="1" applyAlignment="1">
      <alignment vertical="center"/>
    </xf>
    <xf numFmtId="9" fontId="3" fillId="0" borderId="0" xfId="1" applyFont="1" applyAlignment="1">
      <alignment vertical="center"/>
    </xf>
  </cellXfs>
  <cellStyles count="2">
    <cellStyle name="Normal" xfId="0" builtinId="0"/>
    <cellStyle name="Percent" xfId="1" builtinId="5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general" vertical="center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>
                <a:latin typeface="Times New Roman" pitchFamily="18" charset="0"/>
                <a:cs typeface="Times New Roman" pitchFamily="18" charset="0"/>
              </a:rPr>
              <a:t>Quality trend chart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751080499305896"/>
          <c:y val="8.3278070854308231E-2"/>
          <c:w val="0.76796143924193627"/>
          <c:h val="0.64153526204532862"/>
        </c:manualLayout>
      </c:layout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28-Day Strength (MPa)</c:v>
                </c:pt>
              </c:strCache>
            </c:strRef>
          </c:tx>
          <c:marker>
            <c:symbol val="diamond"/>
            <c:size val="5"/>
          </c:marker>
          <c:cat>
            <c:numRef>
              <c:f>Sheet1!$A$2:$A$31</c:f>
              <c:numCache>
                <c:formatCode>m/d/yyyy</c:formatCode>
                <c:ptCount val="30"/>
                <c:pt idx="0">
                  <c:v>45658</c:v>
                </c:pt>
                <c:pt idx="1">
                  <c:v>45661</c:v>
                </c:pt>
                <c:pt idx="2">
                  <c:v>45664</c:v>
                </c:pt>
                <c:pt idx="3">
                  <c:v>45667</c:v>
                </c:pt>
                <c:pt idx="4">
                  <c:v>45670</c:v>
                </c:pt>
                <c:pt idx="5">
                  <c:v>45673</c:v>
                </c:pt>
                <c:pt idx="6">
                  <c:v>45676</c:v>
                </c:pt>
                <c:pt idx="7">
                  <c:v>45679</c:v>
                </c:pt>
                <c:pt idx="8">
                  <c:v>45682</c:v>
                </c:pt>
                <c:pt idx="9">
                  <c:v>45685</c:v>
                </c:pt>
                <c:pt idx="10">
                  <c:v>45688</c:v>
                </c:pt>
                <c:pt idx="11">
                  <c:v>45691</c:v>
                </c:pt>
                <c:pt idx="12">
                  <c:v>45694</c:v>
                </c:pt>
                <c:pt idx="13">
                  <c:v>45697</c:v>
                </c:pt>
                <c:pt idx="14">
                  <c:v>45700</c:v>
                </c:pt>
                <c:pt idx="15">
                  <c:v>45703</c:v>
                </c:pt>
                <c:pt idx="16">
                  <c:v>45706</c:v>
                </c:pt>
                <c:pt idx="17">
                  <c:v>45709</c:v>
                </c:pt>
                <c:pt idx="18">
                  <c:v>45712</c:v>
                </c:pt>
                <c:pt idx="19">
                  <c:v>45715</c:v>
                </c:pt>
                <c:pt idx="20">
                  <c:v>45718</c:v>
                </c:pt>
                <c:pt idx="21">
                  <c:v>45721</c:v>
                </c:pt>
                <c:pt idx="22">
                  <c:v>45724</c:v>
                </c:pt>
                <c:pt idx="23">
                  <c:v>45727</c:v>
                </c:pt>
                <c:pt idx="24">
                  <c:v>45730</c:v>
                </c:pt>
                <c:pt idx="25">
                  <c:v>45733</c:v>
                </c:pt>
                <c:pt idx="26">
                  <c:v>45736</c:v>
                </c:pt>
                <c:pt idx="27">
                  <c:v>45739</c:v>
                </c:pt>
                <c:pt idx="28">
                  <c:v>45742</c:v>
                </c:pt>
                <c:pt idx="29">
                  <c:v>45745</c:v>
                </c:pt>
              </c:numCache>
            </c:numRef>
          </c:cat>
          <c:val>
            <c:numRef>
              <c:f>Sheet1!$F$2:$F$31</c:f>
              <c:numCache>
                <c:formatCode>General</c:formatCode>
                <c:ptCount val="30"/>
                <c:pt idx="0">
                  <c:v>22.43</c:v>
                </c:pt>
                <c:pt idx="1">
                  <c:v>26.06</c:v>
                </c:pt>
                <c:pt idx="2">
                  <c:v>20.04</c:v>
                </c:pt>
                <c:pt idx="3">
                  <c:v>30.5</c:v>
                </c:pt>
                <c:pt idx="4">
                  <c:v>17.98</c:v>
                </c:pt>
                <c:pt idx="5">
                  <c:v>30.11</c:v>
                </c:pt>
                <c:pt idx="6">
                  <c:v>33.39</c:v>
                </c:pt>
                <c:pt idx="7">
                  <c:v>30.63</c:v>
                </c:pt>
                <c:pt idx="8">
                  <c:v>33.61</c:v>
                </c:pt>
                <c:pt idx="9">
                  <c:v>26.67</c:v>
                </c:pt>
                <c:pt idx="10">
                  <c:v>28.43</c:v>
                </c:pt>
                <c:pt idx="11">
                  <c:v>28.39</c:v>
                </c:pt>
                <c:pt idx="12">
                  <c:v>23.69</c:v>
                </c:pt>
                <c:pt idx="13">
                  <c:v>18.3</c:v>
                </c:pt>
                <c:pt idx="14">
                  <c:v>21.51</c:v>
                </c:pt>
                <c:pt idx="15">
                  <c:v>27.37</c:v>
                </c:pt>
                <c:pt idx="16">
                  <c:v>18.43</c:v>
                </c:pt>
                <c:pt idx="17">
                  <c:v>26.5</c:v>
                </c:pt>
                <c:pt idx="18">
                  <c:v>28.14</c:v>
                </c:pt>
                <c:pt idx="19">
                  <c:v>22.63</c:v>
                </c:pt>
                <c:pt idx="20">
                  <c:v>21.46</c:v>
                </c:pt>
                <c:pt idx="21">
                  <c:v>17.29</c:v>
                </c:pt>
                <c:pt idx="22">
                  <c:v>22.69</c:v>
                </c:pt>
                <c:pt idx="23">
                  <c:v>24.06</c:v>
                </c:pt>
                <c:pt idx="24">
                  <c:v>28.93</c:v>
                </c:pt>
                <c:pt idx="25">
                  <c:v>26.75</c:v>
                </c:pt>
                <c:pt idx="26">
                  <c:v>26.44</c:v>
                </c:pt>
                <c:pt idx="27">
                  <c:v>18.850000000000001</c:v>
                </c:pt>
                <c:pt idx="28">
                  <c:v>19.95</c:v>
                </c:pt>
                <c:pt idx="29">
                  <c:v>28.96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Required Strength (MPa)</c:v>
                </c:pt>
              </c:strCache>
            </c:strRef>
          </c:tx>
          <c:marker>
            <c:symbol val="circle"/>
            <c:size val="5"/>
          </c:marker>
          <c:cat>
            <c:numRef>
              <c:f>Sheet1!$A$2:$A$31</c:f>
              <c:numCache>
                <c:formatCode>m/d/yyyy</c:formatCode>
                <c:ptCount val="30"/>
                <c:pt idx="0">
                  <c:v>45658</c:v>
                </c:pt>
                <c:pt idx="1">
                  <c:v>45661</c:v>
                </c:pt>
                <c:pt idx="2">
                  <c:v>45664</c:v>
                </c:pt>
                <c:pt idx="3">
                  <c:v>45667</c:v>
                </c:pt>
                <c:pt idx="4">
                  <c:v>45670</c:v>
                </c:pt>
                <c:pt idx="5">
                  <c:v>45673</c:v>
                </c:pt>
                <c:pt idx="6">
                  <c:v>45676</c:v>
                </c:pt>
                <c:pt idx="7">
                  <c:v>45679</c:v>
                </c:pt>
                <c:pt idx="8">
                  <c:v>45682</c:v>
                </c:pt>
                <c:pt idx="9">
                  <c:v>45685</c:v>
                </c:pt>
                <c:pt idx="10">
                  <c:v>45688</c:v>
                </c:pt>
                <c:pt idx="11">
                  <c:v>45691</c:v>
                </c:pt>
                <c:pt idx="12">
                  <c:v>45694</c:v>
                </c:pt>
                <c:pt idx="13">
                  <c:v>45697</c:v>
                </c:pt>
                <c:pt idx="14">
                  <c:v>45700</c:v>
                </c:pt>
                <c:pt idx="15">
                  <c:v>45703</c:v>
                </c:pt>
                <c:pt idx="16">
                  <c:v>45706</c:v>
                </c:pt>
                <c:pt idx="17">
                  <c:v>45709</c:v>
                </c:pt>
                <c:pt idx="18">
                  <c:v>45712</c:v>
                </c:pt>
                <c:pt idx="19">
                  <c:v>45715</c:v>
                </c:pt>
                <c:pt idx="20">
                  <c:v>45718</c:v>
                </c:pt>
                <c:pt idx="21">
                  <c:v>45721</c:v>
                </c:pt>
                <c:pt idx="22">
                  <c:v>45724</c:v>
                </c:pt>
                <c:pt idx="23">
                  <c:v>45727</c:v>
                </c:pt>
                <c:pt idx="24">
                  <c:v>45730</c:v>
                </c:pt>
                <c:pt idx="25">
                  <c:v>45733</c:v>
                </c:pt>
                <c:pt idx="26">
                  <c:v>45736</c:v>
                </c:pt>
                <c:pt idx="27">
                  <c:v>45739</c:v>
                </c:pt>
                <c:pt idx="28">
                  <c:v>45742</c:v>
                </c:pt>
                <c:pt idx="29">
                  <c:v>45745</c:v>
                </c:pt>
              </c:numCache>
            </c:numRef>
          </c:cat>
          <c:val>
            <c:numRef>
              <c:f>Sheet1!$G$2:$G$31</c:f>
              <c:numCache>
                <c:formatCode>General</c:formatCode>
                <c:ptCount val="30"/>
                <c:pt idx="0">
                  <c:v>20</c:v>
                </c:pt>
                <c:pt idx="1">
                  <c:v>25</c:v>
                </c:pt>
                <c:pt idx="2">
                  <c:v>20</c:v>
                </c:pt>
                <c:pt idx="3">
                  <c:v>30</c:v>
                </c:pt>
                <c:pt idx="4">
                  <c:v>20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25</c:v>
                </c:pt>
                <c:pt idx="10">
                  <c:v>30</c:v>
                </c:pt>
                <c:pt idx="11">
                  <c:v>30</c:v>
                </c:pt>
                <c:pt idx="12">
                  <c:v>25</c:v>
                </c:pt>
                <c:pt idx="13">
                  <c:v>20</c:v>
                </c:pt>
                <c:pt idx="14">
                  <c:v>20</c:v>
                </c:pt>
                <c:pt idx="15">
                  <c:v>25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25</c:v>
                </c:pt>
                <c:pt idx="24">
                  <c:v>30</c:v>
                </c:pt>
                <c:pt idx="25">
                  <c:v>25</c:v>
                </c:pt>
                <c:pt idx="26">
                  <c:v>25</c:v>
                </c:pt>
                <c:pt idx="27">
                  <c:v>20</c:v>
                </c:pt>
                <c:pt idx="28">
                  <c:v>20</c:v>
                </c:pt>
                <c:pt idx="29">
                  <c:v>30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160192"/>
        <c:axId val="185323520"/>
      </c:lineChart>
      <c:dateAx>
        <c:axId val="18116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45068131874308004"/>
              <c:y val="0.8854984026214795"/>
            </c:manualLayout>
          </c:layout>
          <c:overlay val="0"/>
        </c:title>
        <c:numFmt formatCode="m/d/yyyy" sourceLinked="1"/>
        <c:majorTickMark val="out"/>
        <c:minorTickMark val="none"/>
        <c:tickLblPos val="nextTo"/>
        <c:crossAx val="185323520"/>
        <c:crosses val="autoZero"/>
        <c:auto val="1"/>
        <c:lblOffset val="100"/>
        <c:baseTimeUnit val="days"/>
      </c:dateAx>
      <c:valAx>
        <c:axId val="1853235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100">
                    <a:latin typeface="Times New Roman" pitchFamily="18" charset="0"/>
                    <a:cs typeface="Times New Roman" pitchFamily="18" charset="0"/>
                  </a:rPr>
                  <a:t>Strength</a:t>
                </a:r>
                <a:r>
                  <a:rPr lang="en-US" sz="1100" baseline="0">
                    <a:latin typeface="Times New Roman" pitchFamily="18" charset="0"/>
                    <a:cs typeface="Times New Roman" pitchFamily="18" charset="0"/>
                  </a:rPr>
                  <a:t> (MPa)</a:t>
                </a:r>
                <a:endParaRPr lang="en-US" sz="1100">
                  <a:latin typeface="Times New Roman" pitchFamily="18" charset="0"/>
                  <a:cs typeface="Times New Roman" pitchFamily="18" charset="0"/>
                </a:endParaRPr>
              </a:p>
            </c:rich>
          </c:tx>
          <c:layout>
            <c:manualLayout>
              <c:xMode val="edge"/>
              <c:yMode val="edge"/>
              <c:x val="3.1563506381830746E-2"/>
              <c:y val="0.288740134676909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1160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5386534927245441"/>
          <c:y val="0.88854493753007191"/>
          <c:w val="0.22050597841936426"/>
          <c:h val="0.10473740738967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Failure rate graph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21266659849337"/>
          <c:y val="0.15636402473102234"/>
          <c:w val="0.75976317354270106"/>
          <c:h val="0.639059039024804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00B0F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</c:dPt>
          <c:cat>
            <c:strRef>
              <c:f>Sheet1!$L$2:$L$5</c:f>
              <c:strCache>
                <c:ptCount val="4"/>
                <c:pt idx="0">
                  <c:v>Total tests</c:v>
                </c:pt>
                <c:pt idx="1">
                  <c:v>Failed</c:v>
                </c:pt>
                <c:pt idx="2">
                  <c:v>Passed</c:v>
                </c:pt>
                <c:pt idx="3">
                  <c:v>Failure %</c:v>
                </c:pt>
              </c:strCache>
            </c:strRef>
          </c:cat>
          <c:val>
            <c:numRef>
              <c:f>Sheet1!$M$2:$M$5</c:f>
              <c:numCache>
                <c:formatCode>General</c:formatCode>
                <c:ptCount val="4"/>
                <c:pt idx="0">
                  <c:v>30</c:v>
                </c:pt>
                <c:pt idx="1">
                  <c:v>12</c:v>
                </c:pt>
                <c:pt idx="2">
                  <c:v>18</c:v>
                </c:pt>
                <c:pt idx="3" formatCode="0%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6969856"/>
        <c:axId val="227254272"/>
      </c:barChart>
      <c:catAx>
        <c:axId val="226969856"/>
        <c:scaling>
          <c:orientation val="minMax"/>
        </c:scaling>
        <c:delete val="0"/>
        <c:axPos val="b"/>
        <c:majorTickMark val="out"/>
        <c:minorTickMark val="none"/>
        <c:tickLblPos val="nextTo"/>
        <c:crossAx val="227254272"/>
        <c:crosses val="autoZero"/>
        <c:auto val="1"/>
        <c:lblAlgn val="ctr"/>
        <c:lblOffset val="100"/>
        <c:noMultiLvlLbl val="0"/>
      </c:catAx>
      <c:valAx>
        <c:axId val="227254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9698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Material</a:t>
            </a:r>
            <a:r>
              <a:rPr lang="en-US" baseline="0"/>
              <a:t> approval status chart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Sheet2!$I$1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Pt>
            <c:idx val="1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4"/>
            <c:invertIfNegative val="0"/>
            <c:bubble3D val="0"/>
            <c:spPr>
              <a:solidFill>
                <a:srgbClr val="00B050"/>
              </a:solidFill>
            </c:spPr>
          </c:dPt>
          <c:cat>
            <c:strRef>
              <c:f>Sheet2!$H$2:$H$6</c:f>
              <c:strCache>
                <c:ptCount val="5"/>
                <c:pt idx="0">
                  <c:v>Total Materials</c:v>
                </c:pt>
                <c:pt idx="1">
                  <c:v>Total Approved</c:v>
                </c:pt>
                <c:pt idx="2">
                  <c:v>Total Pending</c:v>
                </c:pt>
                <c:pt idx="3">
                  <c:v>Pending %</c:v>
                </c:pt>
                <c:pt idx="4">
                  <c:v>Approved %</c:v>
                </c:pt>
              </c:strCache>
            </c:strRef>
          </c:cat>
          <c:val>
            <c:numRef>
              <c:f>Sheet2!$I$2:$I$6</c:f>
              <c:numCache>
                <c:formatCode>General</c:formatCode>
                <c:ptCount val="5"/>
                <c:pt idx="0">
                  <c:v>20</c:v>
                </c:pt>
                <c:pt idx="1">
                  <c:v>13</c:v>
                </c:pt>
                <c:pt idx="2">
                  <c:v>7</c:v>
                </c:pt>
                <c:pt idx="3" formatCode="0%">
                  <c:v>0.35</c:v>
                </c:pt>
                <c:pt idx="4" formatCode="0%">
                  <c:v>0.65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1273216"/>
        <c:axId val="231274752"/>
      </c:barChart>
      <c:catAx>
        <c:axId val="231273216"/>
        <c:scaling>
          <c:orientation val="minMax"/>
        </c:scaling>
        <c:delete val="0"/>
        <c:axPos val="b"/>
        <c:majorTickMark val="out"/>
        <c:minorTickMark val="none"/>
        <c:tickLblPos val="nextTo"/>
        <c:crossAx val="231274752"/>
        <c:crosses val="autoZero"/>
        <c:auto val="1"/>
        <c:lblAlgn val="ctr"/>
        <c:lblOffset val="100"/>
        <c:noMultiLvlLbl val="0"/>
      </c:catAx>
      <c:valAx>
        <c:axId val="231274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1273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312420</xdr:colOff>
      <xdr:row>11</xdr:row>
      <xdr:rowOff>11430</xdr:rowOff>
    </xdr:from>
    <xdr:to>
      <xdr:col>22</xdr:col>
      <xdr:colOff>114300</xdr:colOff>
      <xdr:row>35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411480</xdr:colOff>
      <xdr:row>40</xdr:row>
      <xdr:rowOff>171450</xdr:rowOff>
    </xdr:from>
    <xdr:to>
      <xdr:col>18</xdr:col>
      <xdr:colOff>388620</xdr:colOff>
      <xdr:row>59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9</xdr:row>
      <xdr:rowOff>179070</xdr:rowOff>
    </xdr:from>
    <xdr:to>
      <xdr:col>15</xdr:col>
      <xdr:colOff>525780</xdr:colOff>
      <xdr:row>24</xdr:row>
      <xdr:rowOff>179070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sis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rete test analysis"/>
      <sheetName val="Material approval status"/>
      <sheetName val="Site inspection log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id="1" name="ConcreteTestData" displayName="ConcreteTestData" ref="A1:I31" totalsRowShown="0">
  <autoFilter ref="A1:I31"/>
  <tableColumns count="9">
    <tableColumn id="1" name="Date" dataDxfId="1"/>
    <tableColumn id="2" name="Location"/>
    <tableColumn id="3" name="Concrete Grade"/>
    <tableColumn id="4" name="Slump (mm)"/>
    <tableColumn id="5" name="7-Day Strength (MPa)"/>
    <tableColumn id="6" name="28-Day Strength (MPa)"/>
    <tableColumn id="7" name="Required Strength (MPa)"/>
    <tableColumn id="8" name="Difference">
      <calculatedColumnFormula>(F2-G2)</calculatedColumnFormula>
    </tableColumn>
    <tableColumn id="9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ummaryTable" displayName="SummaryTable" ref="L1:M5" totalsRowShown="0">
  <autoFilter ref="L1:M5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MaterialData" displayName="MaterialData" ref="A1:D21" totalsRowShown="0">
  <autoFilter ref="A1:D21"/>
  <tableColumns count="4">
    <tableColumn id="1" name="Material Name"/>
    <tableColumn id="2" name="Supplier"/>
    <tableColumn id="3" name="Test Certificate Available"/>
    <tableColumn id="4" name="Approval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summary" displayName="summary" ref="H1:I6" totalsRowShown="0">
  <autoFilter ref="H1:I6"/>
  <tableColumns count="2">
    <tableColumn id="1" name="Parameter"/>
    <tableColumn id="2" name="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topLeftCell="A31" workbookViewId="0">
      <selection activeCell="T52" sqref="T52"/>
    </sheetView>
  </sheetViews>
  <sheetFormatPr defaultRowHeight="14.4" x14ac:dyDescent="0.3"/>
  <cols>
    <col min="1" max="1" width="10.33203125" bestFit="1" customWidth="1"/>
    <col min="12" max="12" width="15.109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L1" t="s">
        <v>19</v>
      </c>
      <c r="M1" t="s">
        <v>20</v>
      </c>
    </row>
    <row r="2" spans="1:13" x14ac:dyDescent="0.3">
      <c r="A2" s="1">
        <v>45658</v>
      </c>
      <c r="B2" t="s">
        <v>9</v>
      </c>
      <c r="C2" t="s">
        <v>10</v>
      </c>
      <c r="D2">
        <v>114.3</v>
      </c>
      <c r="E2">
        <v>14.33</v>
      </c>
      <c r="F2">
        <v>22.43</v>
      </c>
      <c r="G2">
        <v>20</v>
      </c>
      <c r="H2">
        <f>(F2-G2)</f>
        <v>2.4299999999999997</v>
      </c>
      <c r="I2" t="s">
        <v>11</v>
      </c>
      <c r="L2" t="s">
        <v>21</v>
      </c>
      <c r="M2">
        <f>COUNTA(I2:I31)</f>
        <v>30</v>
      </c>
    </row>
    <row r="3" spans="1:13" x14ac:dyDescent="0.3">
      <c r="A3" s="1">
        <v>45661</v>
      </c>
      <c r="B3" t="s">
        <v>12</v>
      </c>
      <c r="C3" t="s">
        <v>13</v>
      </c>
      <c r="D3">
        <v>95.1</v>
      </c>
      <c r="E3">
        <v>16.29</v>
      </c>
      <c r="F3">
        <v>26.06</v>
      </c>
      <c r="G3">
        <v>25</v>
      </c>
      <c r="H3">
        <f t="shared" ref="H3:H31" si="0">(F3-G3)</f>
        <v>1.0599999999999987</v>
      </c>
      <c r="I3" t="s">
        <v>11</v>
      </c>
      <c r="L3" t="s">
        <v>22</v>
      </c>
      <c r="M3">
        <f>COUNTIF(I2:I31,"Fail")</f>
        <v>12</v>
      </c>
    </row>
    <row r="4" spans="1:13" x14ac:dyDescent="0.3">
      <c r="A4" s="1">
        <v>45664</v>
      </c>
      <c r="B4" t="s">
        <v>14</v>
      </c>
      <c r="C4" t="s">
        <v>10</v>
      </c>
      <c r="D4">
        <v>113.5</v>
      </c>
      <c r="E4">
        <v>14.63</v>
      </c>
      <c r="F4">
        <v>20.04</v>
      </c>
      <c r="G4">
        <v>20</v>
      </c>
      <c r="H4">
        <f t="shared" si="0"/>
        <v>3.9999999999999147E-2</v>
      </c>
      <c r="I4" t="s">
        <v>11</v>
      </c>
      <c r="L4" t="s">
        <v>23</v>
      </c>
      <c r="M4">
        <f>COUNTIF(I2:I31,"Pass")</f>
        <v>18</v>
      </c>
    </row>
    <row r="5" spans="1:13" x14ac:dyDescent="0.3">
      <c r="A5" s="1">
        <v>45667</v>
      </c>
      <c r="B5" t="s">
        <v>15</v>
      </c>
      <c r="C5" t="s">
        <v>16</v>
      </c>
      <c r="D5">
        <v>79.5</v>
      </c>
      <c r="E5">
        <v>21.47</v>
      </c>
      <c r="F5">
        <v>30.5</v>
      </c>
      <c r="G5">
        <v>30</v>
      </c>
      <c r="H5">
        <f t="shared" si="0"/>
        <v>0.5</v>
      </c>
      <c r="I5" t="s">
        <v>11</v>
      </c>
      <c r="L5" t="s">
        <v>24</v>
      </c>
      <c r="M5" s="2">
        <f>(M3/M2)</f>
        <v>0.4</v>
      </c>
    </row>
    <row r="6" spans="1:13" x14ac:dyDescent="0.3">
      <c r="A6" s="1">
        <v>45670</v>
      </c>
      <c r="B6" t="s">
        <v>12</v>
      </c>
      <c r="C6" t="s">
        <v>10</v>
      </c>
      <c r="D6">
        <v>94.4</v>
      </c>
      <c r="E6">
        <v>11.68</v>
      </c>
      <c r="F6">
        <v>17.98</v>
      </c>
      <c r="G6">
        <v>20</v>
      </c>
      <c r="H6">
        <f t="shared" si="0"/>
        <v>-2.0199999999999996</v>
      </c>
      <c r="I6" t="s">
        <v>17</v>
      </c>
    </row>
    <row r="7" spans="1:13" x14ac:dyDescent="0.3">
      <c r="A7" s="1">
        <v>45673</v>
      </c>
      <c r="B7" t="s">
        <v>15</v>
      </c>
      <c r="C7" t="s">
        <v>16</v>
      </c>
      <c r="D7">
        <v>105.8</v>
      </c>
      <c r="E7">
        <v>22.25</v>
      </c>
      <c r="F7">
        <v>30.11</v>
      </c>
      <c r="G7">
        <v>30</v>
      </c>
      <c r="H7">
        <f t="shared" si="0"/>
        <v>0.10999999999999943</v>
      </c>
      <c r="I7" t="s">
        <v>11</v>
      </c>
    </row>
    <row r="8" spans="1:13" x14ac:dyDescent="0.3">
      <c r="A8" s="1">
        <v>45676</v>
      </c>
      <c r="B8" t="s">
        <v>9</v>
      </c>
      <c r="C8" t="s">
        <v>16</v>
      </c>
      <c r="D8">
        <v>116.4</v>
      </c>
      <c r="E8">
        <v>19.09</v>
      </c>
      <c r="F8">
        <v>33.39</v>
      </c>
      <c r="G8">
        <v>30</v>
      </c>
      <c r="H8">
        <f t="shared" si="0"/>
        <v>3.3900000000000006</v>
      </c>
      <c r="I8" t="s">
        <v>11</v>
      </c>
    </row>
    <row r="9" spans="1:13" x14ac:dyDescent="0.3">
      <c r="A9" s="1">
        <v>45679</v>
      </c>
      <c r="B9" t="s">
        <v>9</v>
      </c>
      <c r="C9" t="s">
        <v>16</v>
      </c>
      <c r="D9">
        <v>114.5</v>
      </c>
      <c r="E9">
        <v>18.059999999999999</v>
      </c>
      <c r="F9">
        <v>30.63</v>
      </c>
      <c r="G9">
        <v>30</v>
      </c>
      <c r="H9">
        <f t="shared" si="0"/>
        <v>0.62999999999999901</v>
      </c>
      <c r="I9" t="s">
        <v>11</v>
      </c>
    </row>
    <row r="10" spans="1:13" x14ac:dyDescent="0.3">
      <c r="A10" s="1">
        <v>45682</v>
      </c>
      <c r="B10" t="s">
        <v>12</v>
      </c>
      <c r="C10" t="s">
        <v>16</v>
      </c>
      <c r="D10">
        <v>110.5</v>
      </c>
      <c r="E10">
        <v>21.49</v>
      </c>
      <c r="F10">
        <v>33.61</v>
      </c>
      <c r="G10">
        <v>30</v>
      </c>
      <c r="H10">
        <f t="shared" si="0"/>
        <v>3.6099999999999994</v>
      </c>
      <c r="I10" t="s">
        <v>11</v>
      </c>
    </row>
    <row r="11" spans="1:13" x14ac:dyDescent="0.3">
      <c r="A11" s="1">
        <v>45685</v>
      </c>
      <c r="B11" t="s">
        <v>12</v>
      </c>
      <c r="C11" t="s">
        <v>13</v>
      </c>
      <c r="D11">
        <v>112.9</v>
      </c>
      <c r="E11">
        <v>16.260000000000002</v>
      </c>
      <c r="F11">
        <v>26.67</v>
      </c>
      <c r="G11">
        <v>25</v>
      </c>
      <c r="H11">
        <f t="shared" si="0"/>
        <v>1.6700000000000017</v>
      </c>
      <c r="I11" t="s">
        <v>11</v>
      </c>
    </row>
    <row r="12" spans="1:13" x14ac:dyDescent="0.3">
      <c r="A12" s="1">
        <v>45688</v>
      </c>
      <c r="B12" t="s">
        <v>14</v>
      </c>
      <c r="C12" t="s">
        <v>16</v>
      </c>
      <c r="D12">
        <v>104.5</v>
      </c>
      <c r="E12">
        <v>19.04</v>
      </c>
      <c r="F12">
        <v>28.43</v>
      </c>
      <c r="G12">
        <v>30</v>
      </c>
      <c r="H12">
        <f t="shared" si="0"/>
        <v>-1.5700000000000003</v>
      </c>
      <c r="I12" t="s">
        <v>17</v>
      </c>
    </row>
    <row r="13" spans="1:13" x14ac:dyDescent="0.3">
      <c r="A13" s="1">
        <v>45691</v>
      </c>
      <c r="B13" t="s">
        <v>9</v>
      </c>
      <c r="C13" t="s">
        <v>16</v>
      </c>
      <c r="D13">
        <v>93.5</v>
      </c>
      <c r="E13">
        <v>19.28</v>
      </c>
      <c r="F13">
        <v>28.39</v>
      </c>
      <c r="G13">
        <v>30</v>
      </c>
      <c r="H13">
        <f t="shared" si="0"/>
        <v>-1.6099999999999994</v>
      </c>
      <c r="I13" t="s">
        <v>17</v>
      </c>
    </row>
    <row r="14" spans="1:13" x14ac:dyDescent="0.3">
      <c r="A14" s="1">
        <v>45694</v>
      </c>
      <c r="B14" t="s">
        <v>12</v>
      </c>
      <c r="C14" t="s">
        <v>13</v>
      </c>
      <c r="D14">
        <v>102.5</v>
      </c>
      <c r="E14">
        <v>15.78</v>
      </c>
      <c r="F14">
        <v>23.69</v>
      </c>
      <c r="G14">
        <v>25</v>
      </c>
      <c r="H14">
        <f t="shared" si="0"/>
        <v>-1.3099999999999987</v>
      </c>
      <c r="I14" t="s">
        <v>17</v>
      </c>
    </row>
    <row r="15" spans="1:13" x14ac:dyDescent="0.3">
      <c r="A15" s="1">
        <v>45697</v>
      </c>
      <c r="B15" t="s">
        <v>9</v>
      </c>
      <c r="C15" t="s">
        <v>10</v>
      </c>
      <c r="D15">
        <v>93.4</v>
      </c>
      <c r="E15">
        <v>11.7</v>
      </c>
      <c r="F15">
        <v>18.3</v>
      </c>
      <c r="G15">
        <v>20</v>
      </c>
      <c r="H15">
        <f t="shared" si="0"/>
        <v>-1.6999999999999993</v>
      </c>
      <c r="I15" t="s">
        <v>17</v>
      </c>
    </row>
    <row r="16" spans="1:13" x14ac:dyDescent="0.3">
      <c r="A16" s="1">
        <v>45700</v>
      </c>
      <c r="B16" t="s">
        <v>15</v>
      </c>
      <c r="C16" t="s">
        <v>10</v>
      </c>
      <c r="D16">
        <v>92.4</v>
      </c>
      <c r="E16">
        <v>14.23</v>
      </c>
      <c r="F16">
        <v>21.51</v>
      </c>
      <c r="G16">
        <v>20</v>
      </c>
      <c r="H16">
        <f t="shared" si="0"/>
        <v>1.5100000000000016</v>
      </c>
      <c r="I16" t="s">
        <v>11</v>
      </c>
    </row>
    <row r="17" spans="1:9" x14ac:dyDescent="0.3">
      <c r="A17" s="1">
        <v>45703</v>
      </c>
      <c r="B17" t="s">
        <v>12</v>
      </c>
      <c r="C17" t="s">
        <v>13</v>
      </c>
      <c r="D17">
        <v>119.9</v>
      </c>
      <c r="E17">
        <v>18.54</v>
      </c>
      <c r="F17">
        <v>27.37</v>
      </c>
      <c r="G17">
        <v>25</v>
      </c>
      <c r="H17">
        <f t="shared" si="0"/>
        <v>2.370000000000001</v>
      </c>
      <c r="I17" t="s">
        <v>11</v>
      </c>
    </row>
    <row r="18" spans="1:9" x14ac:dyDescent="0.3">
      <c r="A18" s="1">
        <v>45706</v>
      </c>
      <c r="B18" t="s">
        <v>12</v>
      </c>
      <c r="C18" t="s">
        <v>10</v>
      </c>
      <c r="D18">
        <v>94.9</v>
      </c>
      <c r="E18">
        <v>13.5</v>
      </c>
      <c r="F18">
        <v>18.43</v>
      </c>
      <c r="G18">
        <v>20</v>
      </c>
      <c r="H18">
        <f t="shared" si="0"/>
        <v>-1.5700000000000003</v>
      </c>
      <c r="I18" t="s">
        <v>17</v>
      </c>
    </row>
    <row r="19" spans="1:9" x14ac:dyDescent="0.3">
      <c r="A19" s="1">
        <v>45709</v>
      </c>
      <c r="B19" t="s">
        <v>15</v>
      </c>
      <c r="C19" t="s">
        <v>13</v>
      </c>
      <c r="D19">
        <v>88.7</v>
      </c>
      <c r="E19">
        <v>14.32</v>
      </c>
      <c r="F19">
        <v>26.5</v>
      </c>
      <c r="G19">
        <v>25</v>
      </c>
      <c r="H19">
        <f t="shared" si="0"/>
        <v>1.5</v>
      </c>
      <c r="I19" t="s">
        <v>11</v>
      </c>
    </row>
    <row r="20" spans="1:9" x14ac:dyDescent="0.3">
      <c r="A20" s="1">
        <v>45712</v>
      </c>
      <c r="B20" t="s">
        <v>12</v>
      </c>
      <c r="C20" t="s">
        <v>13</v>
      </c>
      <c r="D20">
        <v>78.8</v>
      </c>
      <c r="E20">
        <v>18.21</v>
      </c>
      <c r="F20">
        <v>28.14</v>
      </c>
      <c r="G20">
        <v>25</v>
      </c>
      <c r="H20">
        <f t="shared" si="0"/>
        <v>3.1400000000000006</v>
      </c>
      <c r="I20" t="s">
        <v>11</v>
      </c>
    </row>
    <row r="21" spans="1:9" x14ac:dyDescent="0.3">
      <c r="A21" s="1">
        <v>45715</v>
      </c>
      <c r="B21" t="s">
        <v>18</v>
      </c>
      <c r="C21" t="s">
        <v>10</v>
      </c>
      <c r="D21">
        <v>83.9</v>
      </c>
      <c r="E21">
        <v>14.23</v>
      </c>
      <c r="F21">
        <v>22.63</v>
      </c>
      <c r="G21">
        <v>20</v>
      </c>
      <c r="H21">
        <f t="shared" si="0"/>
        <v>2.629999999999999</v>
      </c>
      <c r="I21" t="s">
        <v>11</v>
      </c>
    </row>
    <row r="22" spans="1:9" x14ac:dyDescent="0.3">
      <c r="A22" s="1">
        <v>45718</v>
      </c>
      <c r="B22" t="s">
        <v>9</v>
      </c>
      <c r="C22" t="s">
        <v>10</v>
      </c>
      <c r="D22">
        <v>93.7</v>
      </c>
      <c r="E22">
        <v>11.09</v>
      </c>
      <c r="F22">
        <v>21.46</v>
      </c>
      <c r="G22">
        <v>20</v>
      </c>
      <c r="H22">
        <f t="shared" si="0"/>
        <v>1.4600000000000009</v>
      </c>
      <c r="I22" t="s">
        <v>11</v>
      </c>
    </row>
    <row r="23" spans="1:9" x14ac:dyDescent="0.3">
      <c r="A23" s="1">
        <v>45721</v>
      </c>
      <c r="B23" t="s">
        <v>9</v>
      </c>
      <c r="C23" t="s">
        <v>10</v>
      </c>
      <c r="D23">
        <v>83.9</v>
      </c>
      <c r="E23">
        <v>14.98</v>
      </c>
      <c r="F23">
        <v>17.29</v>
      </c>
      <c r="G23">
        <v>20</v>
      </c>
      <c r="H23">
        <f t="shared" si="0"/>
        <v>-2.7100000000000009</v>
      </c>
      <c r="I23" t="s">
        <v>17</v>
      </c>
    </row>
    <row r="24" spans="1:9" x14ac:dyDescent="0.3">
      <c r="A24" s="1">
        <v>45724</v>
      </c>
      <c r="B24" t="s">
        <v>15</v>
      </c>
      <c r="C24" t="s">
        <v>10</v>
      </c>
      <c r="D24">
        <v>83.2</v>
      </c>
      <c r="E24">
        <v>14.57</v>
      </c>
      <c r="F24">
        <v>22.69</v>
      </c>
      <c r="G24">
        <v>20</v>
      </c>
      <c r="H24">
        <f t="shared" si="0"/>
        <v>2.6900000000000013</v>
      </c>
      <c r="I24" t="s">
        <v>11</v>
      </c>
    </row>
    <row r="25" spans="1:9" x14ac:dyDescent="0.3">
      <c r="A25" s="1">
        <v>45727</v>
      </c>
      <c r="B25" t="s">
        <v>12</v>
      </c>
      <c r="C25" t="s">
        <v>13</v>
      </c>
      <c r="D25">
        <v>75.8</v>
      </c>
      <c r="E25">
        <v>16.690000000000001</v>
      </c>
      <c r="F25">
        <v>24.06</v>
      </c>
      <c r="G25">
        <v>25</v>
      </c>
      <c r="H25">
        <f t="shared" si="0"/>
        <v>-0.94000000000000128</v>
      </c>
      <c r="I25" t="s">
        <v>17</v>
      </c>
    </row>
    <row r="26" spans="1:9" x14ac:dyDescent="0.3">
      <c r="A26" s="1">
        <v>45730</v>
      </c>
      <c r="B26" t="s">
        <v>14</v>
      </c>
      <c r="C26" t="s">
        <v>16</v>
      </c>
      <c r="D26">
        <v>105.2</v>
      </c>
      <c r="E26">
        <v>22.42</v>
      </c>
      <c r="F26">
        <v>28.93</v>
      </c>
      <c r="G26">
        <v>30</v>
      </c>
      <c r="H26">
        <f t="shared" si="0"/>
        <v>-1.0700000000000003</v>
      </c>
      <c r="I26" t="s">
        <v>17</v>
      </c>
    </row>
    <row r="27" spans="1:9" x14ac:dyDescent="0.3">
      <c r="A27" s="1">
        <v>45733</v>
      </c>
      <c r="B27" t="s">
        <v>15</v>
      </c>
      <c r="C27" t="s">
        <v>13</v>
      </c>
      <c r="D27">
        <v>106.7</v>
      </c>
      <c r="E27">
        <v>17.09</v>
      </c>
      <c r="F27">
        <v>26.75</v>
      </c>
      <c r="G27">
        <v>25</v>
      </c>
      <c r="H27">
        <f t="shared" si="0"/>
        <v>1.75</v>
      </c>
      <c r="I27" t="s">
        <v>11</v>
      </c>
    </row>
    <row r="28" spans="1:9" x14ac:dyDescent="0.3">
      <c r="A28" s="1">
        <v>45736</v>
      </c>
      <c r="B28" t="s">
        <v>9</v>
      </c>
      <c r="C28" t="s">
        <v>13</v>
      </c>
      <c r="D28">
        <v>86.3</v>
      </c>
      <c r="E28">
        <v>14.05</v>
      </c>
      <c r="F28">
        <v>26.44</v>
      </c>
      <c r="G28">
        <v>25</v>
      </c>
      <c r="H28">
        <f t="shared" si="0"/>
        <v>1.4400000000000013</v>
      </c>
      <c r="I28" t="s">
        <v>11</v>
      </c>
    </row>
    <row r="29" spans="1:9" x14ac:dyDescent="0.3">
      <c r="A29" s="1">
        <v>45739</v>
      </c>
      <c r="B29" t="s">
        <v>14</v>
      </c>
      <c r="C29" t="s">
        <v>10</v>
      </c>
      <c r="D29">
        <v>91.5</v>
      </c>
      <c r="E29">
        <v>11.12</v>
      </c>
      <c r="F29">
        <v>18.850000000000001</v>
      </c>
      <c r="G29">
        <v>20</v>
      </c>
      <c r="H29">
        <f t="shared" si="0"/>
        <v>-1.1499999999999986</v>
      </c>
      <c r="I29" t="s">
        <v>17</v>
      </c>
    </row>
    <row r="30" spans="1:9" x14ac:dyDescent="0.3">
      <c r="A30" s="1">
        <v>45742</v>
      </c>
      <c r="B30" t="s">
        <v>12</v>
      </c>
      <c r="C30" t="s">
        <v>10</v>
      </c>
      <c r="D30">
        <v>106.5</v>
      </c>
      <c r="E30">
        <v>14.2</v>
      </c>
      <c r="F30">
        <v>19.95</v>
      </c>
      <c r="G30">
        <v>20</v>
      </c>
      <c r="H30">
        <f t="shared" si="0"/>
        <v>-5.0000000000000711E-2</v>
      </c>
      <c r="I30" t="s">
        <v>17</v>
      </c>
    </row>
    <row r="31" spans="1:9" x14ac:dyDescent="0.3">
      <c r="A31" s="1">
        <v>45745</v>
      </c>
      <c r="B31" t="s">
        <v>12</v>
      </c>
      <c r="C31" t="s">
        <v>16</v>
      </c>
      <c r="D31">
        <v>88</v>
      </c>
      <c r="E31">
        <v>19.739999999999998</v>
      </c>
      <c r="F31">
        <v>28.96</v>
      </c>
      <c r="G31">
        <v>30</v>
      </c>
      <c r="H31">
        <f t="shared" si="0"/>
        <v>-1.0399999999999991</v>
      </c>
      <c r="I31" t="s">
        <v>17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selection activeCell="G26" sqref="G26"/>
    </sheetView>
  </sheetViews>
  <sheetFormatPr defaultRowHeight="14.4" x14ac:dyDescent="0.3"/>
  <cols>
    <col min="1" max="1" width="17.88671875" customWidth="1"/>
    <col min="2" max="2" width="17.44140625" customWidth="1"/>
    <col min="3" max="3" width="14.21875" customWidth="1"/>
    <col min="4" max="4" width="8.88671875" customWidth="1"/>
  </cols>
  <sheetData>
    <row r="1" spans="1:9" x14ac:dyDescent="0.3">
      <c r="A1" t="s">
        <v>25</v>
      </c>
      <c r="B1" t="s">
        <v>26</v>
      </c>
      <c r="C1" t="s">
        <v>27</v>
      </c>
      <c r="D1" t="s">
        <v>28</v>
      </c>
      <c r="H1" t="s">
        <v>19</v>
      </c>
      <c r="I1" t="s">
        <v>20</v>
      </c>
    </row>
    <row r="2" spans="1:9" x14ac:dyDescent="0.3">
      <c r="A2" t="s">
        <v>29</v>
      </c>
      <c r="B2" t="s">
        <v>30</v>
      </c>
      <c r="C2" t="s">
        <v>31</v>
      </c>
      <c r="D2" t="s">
        <v>32</v>
      </c>
      <c r="H2" t="s">
        <v>43</v>
      </c>
      <c r="I2" s="3">
        <f>COUNTA([1]!MaterialData[Approval Status])</f>
        <v>20</v>
      </c>
    </row>
    <row r="3" spans="1:9" x14ac:dyDescent="0.3">
      <c r="A3" t="s">
        <v>33</v>
      </c>
      <c r="B3" t="s">
        <v>34</v>
      </c>
      <c r="C3" t="s">
        <v>35</v>
      </c>
      <c r="D3" t="s">
        <v>36</v>
      </c>
      <c r="H3" t="s">
        <v>44</v>
      </c>
      <c r="I3" s="4">
        <f>COUNTIF([1]!MaterialData[Approval Status],"Approved")</f>
        <v>13</v>
      </c>
    </row>
    <row r="4" spans="1:9" x14ac:dyDescent="0.3">
      <c r="A4" t="s">
        <v>37</v>
      </c>
      <c r="B4" t="s">
        <v>38</v>
      </c>
      <c r="C4" t="s">
        <v>35</v>
      </c>
      <c r="D4" t="s">
        <v>36</v>
      </c>
      <c r="H4" t="s">
        <v>45</v>
      </c>
      <c r="I4" s="3">
        <f>COUNTIF([1]!MaterialData[Approval Status],"Pending")</f>
        <v>7</v>
      </c>
    </row>
    <row r="5" spans="1:9" x14ac:dyDescent="0.3">
      <c r="A5" t="s">
        <v>39</v>
      </c>
      <c r="B5" t="s">
        <v>40</v>
      </c>
      <c r="C5" t="s">
        <v>31</v>
      </c>
      <c r="D5" t="s">
        <v>32</v>
      </c>
      <c r="H5" t="s">
        <v>46</v>
      </c>
      <c r="I5" s="5">
        <f>(I4/I2)</f>
        <v>0.35</v>
      </c>
    </row>
    <row r="6" spans="1:9" x14ac:dyDescent="0.3">
      <c r="A6" t="s">
        <v>33</v>
      </c>
      <c r="B6" t="s">
        <v>30</v>
      </c>
      <c r="C6" t="s">
        <v>31</v>
      </c>
      <c r="D6" t="s">
        <v>32</v>
      </c>
      <c r="H6" t="s">
        <v>47</v>
      </c>
      <c r="I6" s="6">
        <f>(I3/I2)</f>
        <v>0.65</v>
      </c>
    </row>
    <row r="7" spans="1:9" x14ac:dyDescent="0.3">
      <c r="A7" t="s">
        <v>39</v>
      </c>
      <c r="B7" t="s">
        <v>34</v>
      </c>
      <c r="C7" t="s">
        <v>35</v>
      </c>
      <c r="D7" t="s">
        <v>36</v>
      </c>
    </row>
    <row r="8" spans="1:9" x14ac:dyDescent="0.3">
      <c r="A8" t="s">
        <v>41</v>
      </c>
      <c r="B8" t="s">
        <v>30</v>
      </c>
      <c r="C8" t="s">
        <v>35</v>
      </c>
      <c r="D8" t="s">
        <v>36</v>
      </c>
    </row>
    <row r="9" spans="1:9" x14ac:dyDescent="0.3">
      <c r="A9" t="s">
        <v>33</v>
      </c>
      <c r="B9" t="s">
        <v>38</v>
      </c>
      <c r="C9" t="s">
        <v>35</v>
      </c>
      <c r="D9" t="s">
        <v>36</v>
      </c>
    </row>
    <row r="10" spans="1:9" x14ac:dyDescent="0.3">
      <c r="A10" t="s">
        <v>29</v>
      </c>
      <c r="B10" t="s">
        <v>40</v>
      </c>
      <c r="C10" t="s">
        <v>31</v>
      </c>
      <c r="D10" t="s">
        <v>32</v>
      </c>
    </row>
    <row r="11" spans="1:9" x14ac:dyDescent="0.3">
      <c r="A11" t="s">
        <v>39</v>
      </c>
      <c r="B11" t="s">
        <v>42</v>
      </c>
      <c r="C11" t="s">
        <v>31</v>
      </c>
      <c r="D11" t="s">
        <v>32</v>
      </c>
    </row>
    <row r="12" spans="1:9" x14ac:dyDescent="0.3">
      <c r="A12" t="s">
        <v>37</v>
      </c>
      <c r="B12" t="s">
        <v>40</v>
      </c>
      <c r="C12" t="s">
        <v>35</v>
      </c>
      <c r="D12" t="s">
        <v>36</v>
      </c>
    </row>
    <row r="13" spans="1:9" x14ac:dyDescent="0.3">
      <c r="A13" t="s">
        <v>33</v>
      </c>
      <c r="B13" t="s">
        <v>38</v>
      </c>
      <c r="C13" t="s">
        <v>31</v>
      </c>
      <c r="D13" t="s">
        <v>32</v>
      </c>
    </row>
    <row r="14" spans="1:9" x14ac:dyDescent="0.3">
      <c r="A14" t="s">
        <v>29</v>
      </c>
      <c r="B14" t="s">
        <v>38</v>
      </c>
      <c r="C14" t="s">
        <v>31</v>
      </c>
      <c r="D14" t="s">
        <v>32</v>
      </c>
    </row>
    <row r="15" spans="1:9" x14ac:dyDescent="0.3">
      <c r="A15" t="s">
        <v>29</v>
      </c>
      <c r="B15" t="s">
        <v>40</v>
      </c>
      <c r="C15" t="s">
        <v>35</v>
      </c>
      <c r="D15" t="s">
        <v>36</v>
      </c>
    </row>
    <row r="16" spans="1:9" x14ac:dyDescent="0.3">
      <c r="A16" t="s">
        <v>33</v>
      </c>
      <c r="B16" t="s">
        <v>42</v>
      </c>
      <c r="C16" t="s">
        <v>35</v>
      </c>
      <c r="D16" t="s">
        <v>36</v>
      </c>
    </row>
    <row r="17" spans="1:4" x14ac:dyDescent="0.3">
      <c r="A17" t="s">
        <v>37</v>
      </c>
      <c r="B17" t="s">
        <v>34</v>
      </c>
      <c r="C17" t="s">
        <v>35</v>
      </c>
      <c r="D17" t="s">
        <v>36</v>
      </c>
    </row>
    <row r="18" spans="1:4" x14ac:dyDescent="0.3">
      <c r="A18" t="s">
        <v>41</v>
      </c>
      <c r="B18" t="s">
        <v>40</v>
      </c>
      <c r="C18" t="s">
        <v>35</v>
      </c>
      <c r="D18" t="s">
        <v>36</v>
      </c>
    </row>
    <row r="19" spans="1:4" x14ac:dyDescent="0.3">
      <c r="A19" t="s">
        <v>39</v>
      </c>
      <c r="B19" t="s">
        <v>42</v>
      </c>
      <c r="C19" t="s">
        <v>35</v>
      </c>
      <c r="D19" t="s">
        <v>36</v>
      </c>
    </row>
    <row r="20" spans="1:4" x14ac:dyDescent="0.3">
      <c r="A20" t="s">
        <v>29</v>
      </c>
      <c r="B20" t="s">
        <v>38</v>
      </c>
      <c r="C20" t="s">
        <v>35</v>
      </c>
      <c r="D20" t="s">
        <v>36</v>
      </c>
    </row>
    <row r="21" spans="1:4" x14ac:dyDescent="0.3">
      <c r="A21" t="s">
        <v>37</v>
      </c>
      <c r="B21" t="s">
        <v>30</v>
      </c>
      <c r="C21" t="s">
        <v>35</v>
      </c>
      <c r="D21" t="s">
        <v>36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2026-02-19T19:19:14Z</dcterms:created>
  <dcterms:modified xsi:type="dcterms:W3CDTF">2026-02-19T20:46:01Z</dcterms:modified>
</cp:coreProperties>
</file>